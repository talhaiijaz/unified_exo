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2.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 1" sheetId="2" r:id="rId5"/>
    <sheet name="Value of Vo and Rf" sheetId="3" r:id="rId6"/>
    <sheet name="Sheet 2" sheetId="4" r:id="rId7"/>
    <sheet name="Sheet 3" sheetId="5" r:id="rId8"/>
    <sheet name="COVID DNA Detection Cap" sheetId="6" r:id="rId9"/>
    <sheet name="COVID Detection Clean Sheet" sheetId="7" r:id="rId10"/>
    <sheet name="Detection Curve" sheetId="8" r:id="rId11"/>
  </sheets>
</workbook>
</file>

<file path=xl/sharedStrings.xml><?xml version="1.0" encoding="utf-8"?>
<sst xmlns="http://schemas.openxmlformats.org/spreadsheetml/2006/main" uniqueCount="243">
  <si>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</si>
  <si>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</si>
  <si>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</si>
  <si>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</si>
  <si>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</si>
  <si>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Table 1</t>
  </si>
  <si>
    <t>Pi</t>
  </si>
  <si>
    <t>f</t>
  </si>
  <si>
    <t>C</t>
  </si>
  <si>
    <t xml:space="preserve"> R</t>
  </si>
  <si>
    <t xml:space="preserve"> T</t>
  </si>
  <si>
    <t>2piFC</t>
  </si>
  <si>
    <t xml:space="preserve">1/2piFC </t>
  </si>
  <si>
    <t>R^2 + Xc^2</t>
  </si>
  <si>
    <t>Sqrt (R^2 + Xc^2)</t>
  </si>
  <si>
    <t>V</t>
  </si>
  <si>
    <t>V work</t>
  </si>
  <si>
    <t xml:space="preserve">i </t>
  </si>
  <si>
    <t>V out =</t>
  </si>
  <si>
    <t>V fix</t>
  </si>
  <si>
    <t>=</t>
  </si>
  <si>
    <t>V in</t>
  </si>
  <si>
    <t>i</t>
  </si>
  <si>
    <t>Vwork</t>
  </si>
  <si>
    <t>(Vout - Vwork)/R f = i</t>
  </si>
  <si>
    <t>R f</t>
  </si>
  <si>
    <t>V out</t>
  </si>
  <si>
    <t>Vmax</t>
  </si>
  <si>
    <t>Vmin</t>
  </si>
  <si>
    <t>amplitude</t>
  </si>
  <si>
    <t>Value of Vo and Rf</t>
  </si>
  <si>
    <t>Formula</t>
  </si>
  <si>
    <t>Values</t>
  </si>
  <si>
    <t>Calculated Values</t>
  </si>
  <si>
    <t>Vo</t>
  </si>
  <si>
    <t>(I*Rf)+Vwork</t>
  </si>
  <si>
    <t>Vwork (1+Rf/Z)</t>
  </si>
  <si>
    <t>-2fVpeak t+1.65</t>
  </si>
  <si>
    <t>2fVpeak t+1.65</t>
  </si>
  <si>
    <t>T/4</t>
  </si>
  <si>
    <t>T/2</t>
  </si>
  <si>
    <t>3T/4</t>
  </si>
  <si>
    <t>T</t>
  </si>
  <si>
    <t>T0</t>
  </si>
  <si>
    <t>Rf</t>
  </si>
  <si>
    <t>t</t>
  </si>
  <si>
    <t>Between 1 and -1</t>
  </si>
  <si>
    <t>t=(t+T/4)</t>
  </si>
  <si>
    <t>Vpeak</t>
  </si>
  <si>
    <t>(Vmax-Vmin)/2</t>
  </si>
  <si>
    <t>V peak to peak</t>
  </si>
  <si>
    <t>(Vmax-Vmin)</t>
  </si>
  <si>
    <t>R</t>
  </si>
  <si>
    <t>Xc</t>
  </si>
  <si>
    <t>1/(2pifC)</t>
  </si>
  <si>
    <t>Term 1</t>
  </si>
  <si>
    <t>Z</t>
  </si>
  <si>
    <t>Sqrt(R^2+Xc^2)</t>
  </si>
  <si>
    <t>Term 2</t>
  </si>
  <si>
    <t>Term 3</t>
  </si>
  <si>
    <t>(Vo-Vwork)/Rf = Vpeak/(sqrt(R^2 + Xc^2)</t>
  </si>
  <si>
    <t>&lt;- Vo based value of i</t>
  </si>
  <si>
    <t>1/f</t>
  </si>
  <si>
    <t>V/s</t>
  </si>
  <si>
    <t>4fVpeak</t>
  </si>
  <si>
    <t>2f(Vmax-Vmin) t</t>
  </si>
  <si>
    <t>2f(Vmax-Vmin)</t>
  </si>
  <si>
    <t>t=T/x; x=1,2,3,4</t>
  </si>
  <si>
    <t>2f(Vmax-Vmin) C Rf</t>
  </si>
  <si>
    <t>Rf e^-(t/RC)</t>
  </si>
  <si>
    <t>Phase of Z</t>
  </si>
  <si>
    <t>Arctan(X_c/R)</t>
  </si>
  <si>
    <t>Phase degree</t>
  </si>
  <si>
    <t>Vref</t>
  </si>
  <si>
    <t>e^-(t/RC)</t>
  </si>
  <si>
    <t>Sheet 2</t>
  </si>
  <si>
    <t>Vx(t)</t>
  </si>
  <si>
    <t>Sheet 3</t>
  </si>
  <si>
    <t>Inputs</t>
  </si>
  <si>
    <t>CNT radius, r</t>
  </si>
  <si>
    <t xml:space="preserve">CNT Surface Area </t>
  </si>
  <si>
    <t>Capacitane of Pair, C</t>
  </si>
  <si>
    <t>Capacitance of Chip</t>
  </si>
  <si>
    <t>CNT Length, h</t>
  </si>
  <si>
    <t>Base Area of Nanostructure</t>
  </si>
  <si>
    <t>Energy, E</t>
  </si>
  <si>
    <t>Energy of Chip</t>
  </si>
  <si>
    <t>Width of Nano Structure, x</t>
  </si>
  <si>
    <t>No of CNTs in Base area</t>
  </si>
  <si>
    <t>Wh</t>
  </si>
  <si>
    <t>Wh/Lit</t>
  </si>
  <si>
    <t>Length of Nanostructure, y</t>
  </si>
  <si>
    <t>Total Surface Area, A</t>
  </si>
  <si>
    <t>mAh</t>
  </si>
  <si>
    <t>mAh/Lit</t>
  </si>
  <si>
    <t>Gap between Nanostructures, d</t>
  </si>
  <si>
    <t>Eo</t>
  </si>
  <si>
    <t>Voltage charging MAX, V</t>
  </si>
  <si>
    <t>Charging Current,  I Amp</t>
  </si>
  <si>
    <t>Er</t>
  </si>
  <si>
    <t>Voltage Operating</t>
  </si>
  <si>
    <t>Breakdown Voltage; V/cm</t>
  </si>
  <si>
    <t xml:space="preserve">Time to charge, time, </t>
  </si>
  <si>
    <t>For Chip</t>
  </si>
  <si>
    <t>mins</t>
  </si>
  <si>
    <t>V/um</t>
  </si>
  <si>
    <t>Length of Chip</t>
  </si>
  <si>
    <t>1 inch</t>
  </si>
  <si>
    <t>Chip Area, A</t>
  </si>
  <si>
    <t>Width of Chip</t>
  </si>
  <si>
    <t>No of pairs</t>
  </si>
  <si>
    <t>Si thickness</t>
  </si>
  <si>
    <t>Volume Si</t>
  </si>
  <si>
    <t>Sum of all sub volumes</t>
  </si>
  <si>
    <t>SiO2</t>
  </si>
  <si>
    <t>Vol SiO2</t>
  </si>
  <si>
    <t>Metal 1</t>
  </si>
  <si>
    <t>Vol M1</t>
  </si>
  <si>
    <t>Metal 2</t>
  </si>
  <si>
    <t>Vol M2</t>
  </si>
  <si>
    <t>Catalyst</t>
  </si>
  <si>
    <t>Vol Catalyst</t>
  </si>
  <si>
    <t>CNT</t>
  </si>
  <si>
    <t>Vol CNT</t>
  </si>
  <si>
    <t>Dielectric</t>
  </si>
  <si>
    <t>Vol Dielectric</t>
  </si>
  <si>
    <t>Total Thickness</t>
  </si>
  <si>
    <t>Total Volume Pair</t>
  </si>
  <si>
    <t>Lit</t>
  </si>
  <si>
    <t>Total Vol of Chip</t>
  </si>
  <si>
    <t>J/Kg.K</t>
  </si>
  <si>
    <t>Resistivity  Ohm/m</t>
  </si>
  <si>
    <t>Resistivity</t>
  </si>
  <si>
    <t>Density</t>
  </si>
  <si>
    <t>Mass</t>
  </si>
  <si>
    <t>Resistance</t>
  </si>
  <si>
    <t>Power</t>
  </si>
  <si>
    <t>Q =Pt</t>
  </si>
  <si>
    <t>Specific Heat Capacity</t>
  </si>
  <si>
    <t>Delta Temp</t>
  </si>
  <si>
    <t>Aluminum</t>
  </si>
  <si>
    <t>Titanium</t>
  </si>
  <si>
    <t>Fe</t>
  </si>
  <si>
    <t>Carbon CNTs</t>
  </si>
  <si>
    <t>COVID DNA Detection Cap</t>
  </si>
  <si>
    <t>M</t>
  </si>
  <si>
    <t>z</t>
  </si>
  <si>
    <t>z^2</t>
  </si>
  <si>
    <t>e</t>
  </si>
  <si>
    <t>e^2</t>
  </si>
  <si>
    <t>Co</t>
  </si>
  <si>
    <t xml:space="preserve">1 miliMolar (moles/m^3 </t>
  </si>
  <si>
    <t>0.001mol/L or M</t>
  </si>
  <si>
    <t>er</t>
  </si>
  <si>
    <t>F=eNa</t>
  </si>
  <si>
    <t>eo</t>
  </si>
  <si>
    <t>.1M=</t>
  </si>
  <si>
    <t>mMolar/Lit</t>
  </si>
  <si>
    <t>k</t>
  </si>
  <si>
    <t>mM*F</t>
  </si>
  <si>
    <t>n=C*Na</t>
  </si>
  <si>
    <t>V_Zeta</t>
  </si>
  <si>
    <t>CEDL</t>
  </si>
  <si>
    <t>Sq of sqrt should be</t>
  </si>
  <si>
    <t>Na</t>
  </si>
  <si>
    <t>sqrt should be</t>
  </si>
  <si>
    <t>C_EDL/A</t>
  </si>
  <si>
    <t>CEDL 1 CNT</t>
  </si>
  <si>
    <t>Sqrt</t>
  </si>
  <si>
    <t>Cosh</t>
  </si>
  <si>
    <t>d-EDL</t>
  </si>
  <si>
    <t>C-EDL</t>
  </si>
  <si>
    <t>F/m^2</t>
  </si>
  <si>
    <t>Co=ni/Na</t>
  </si>
  <si>
    <t>uF/cm^2</t>
  </si>
  <si>
    <t>CEDL 1 NS</t>
  </si>
  <si>
    <t>F=eNA</t>
  </si>
  <si>
    <t>R=kNa</t>
  </si>
  <si>
    <t>CNT r</t>
  </si>
  <si>
    <t>CNT h</t>
  </si>
  <si>
    <t>SA 1 CNT</t>
  </si>
  <si>
    <t>squared</t>
  </si>
  <si>
    <t>kT</t>
  </si>
  <si>
    <t>cosh^-1</t>
  </si>
  <si>
    <t>Cd</t>
  </si>
  <si>
    <t>Sqrt .1</t>
  </si>
  <si>
    <t>Cd/cosh</t>
  </si>
  <si>
    <t>(Cd/cosh)/228</t>
  </si>
  <si>
    <t>L</t>
  </si>
  <si>
    <t>W</t>
  </si>
  <si>
    <t xml:space="preserve">CNT No: </t>
  </si>
  <si>
    <t>COVID Detection Clean Sheet</t>
  </si>
  <si>
    <t xml:space="preserve">Vol of 1 molecule </t>
  </si>
  <si>
    <t>Area of 1 molecule</t>
  </si>
  <si>
    <t>Gap between molecules</t>
  </si>
  <si>
    <t>No of Functional molecules 1 CNT</t>
  </si>
  <si>
    <t>No of Functional molecules 1 NS</t>
  </si>
  <si>
    <t>Concentration of Functional Molecules on 1 NS</t>
  </si>
  <si>
    <t>moles/m3</t>
  </si>
  <si>
    <t>SA  1 NS</t>
  </si>
  <si>
    <t>C-H Per unit area</t>
  </si>
  <si>
    <t>er DNA</t>
  </si>
  <si>
    <t>0.33nm = 1 nucleotide</t>
  </si>
  <si>
    <t>C-H Per 1 CNT</t>
  </si>
  <si>
    <t>L DNA</t>
  </si>
  <si>
    <t xml:space="preserve">20 nucleotide </t>
  </si>
  <si>
    <t>C-H Per Ns</t>
  </si>
  <si>
    <t xml:space="preserve">Radius of Functional Molecule </t>
  </si>
  <si>
    <t>2 nm diameter (17.6-26 A)</t>
  </si>
  <si>
    <t>1/C=1/CH+1/CEDL</t>
  </si>
  <si>
    <t xml:space="preserve">C </t>
  </si>
  <si>
    <t>0.1 pF</t>
  </si>
  <si>
    <t>Freq F</t>
  </si>
  <si>
    <t>100KHz ideal for fM conc</t>
  </si>
  <si>
    <t>Z= Impedance C</t>
  </si>
  <si>
    <t>1/2pifC</t>
  </si>
  <si>
    <t>R=</t>
  </si>
  <si>
    <t>100K Ohm</t>
  </si>
  <si>
    <t>i=</t>
  </si>
  <si>
    <t>nAmps for fM</t>
  </si>
  <si>
    <t>Z (RC)=</t>
  </si>
  <si>
    <t>z=(R^2+(1/2pifc)^2)^(1/2)</t>
  </si>
  <si>
    <t>i with R =Vzeta/Z</t>
  </si>
  <si>
    <t>er DNA Hyberidization</t>
  </si>
  <si>
    <t>C-H1 Per unit area</t>
  </si>
  <si>
    <t>C-H1 Per 1 CNT</t>
  </si>
  <si>
    <t>C-H1 Per Ns</t>
  </si>
  <si>
    <t>1/C=1/CH+1/CH+1/CEDL</t>
  </si>
  <si>
    <t>1/CH-H1=1/C+1/C-H</t>
  </si>
  <si>
    <t>CH-H1</t>
  </si>
  <si>
    <t>Ch-h1=[eoer/(l1+l2)]*SA1CNT*#ofCNTs</t>
  </si>
  <si>
    <t>Z CEDL 1 NS</t>
  </si>
  <si>
    <t>Delta I change</t>
  </si>
  <si>
    <t xml:space="preserve">Delta Z change </t>
  </si>
  <si>
    <t>Ohms</t>
  </si>
  <si>
    <t xml:space="preserve">Delta C change </t>
  </si>
  <si>
    <t xml:space="preserve">Delta Change </t>
  </si>
  <si>
    <t>Z C-EDL - Z Cedl+Ch</t>
  </si>
  <si>
    <t>Z C-EDL - Z Cedl+Ch+Ch1</t>
  </si>
  <si>
    <t>Detection Curve</t>
  </si>
  <si>
    <t>Concentration of Functional Groups</t>
  </si>
  <si>
    <t xml:space="preserve">Concentration of Ions in Solution </t>
  </si>
  <si>
    <t>Delta C</t>
  </si>
</sst>
</file>

<file path=xl/styles.xml><?xml version="1.0" encoding="utf-8"?>
<styleSheet xmlns="http://schemas.openxmlformats.org/spreadsheetml/2006/main">
  <numFmts count="35">
    <numFmt numFmtId="0" formatCode="General"/>
    <numFmt numFmtId="59" formatCode="0E+00"/>
    <numFmt numFmtId="60" formatCode="0.00000E+00"/>
    <numFmt numFmtId="61" formatCode="0.0000E+00"/>
    <numFmt numFmtId="62" formatCode="0.0########E+00"/>
    <numFmt numFmtId="63" formatCode="0.0#########################E+00"/>
    <numFmt numFmtId="64" formatCode="0.0####E+00"/>
    <numFmt numFmtId="65" formatCode="0.0#########E+00"/>
    <numFmt numFmtId="66" formatCode="0.0#####E+00"/>
    <numFmt numFmtId="67" formatCode="0.0###E+00"/>
    <numFmt numFmtId="68" formatCode="0.0##############E+00"/>
    <numFmt numFmtId="69" formatCode="0.0#######E+00"/>
    <numFmt numFmtId="70" formatCode="0.0E+00"/>
    <numFmt numFmtId="71" formatCode="0.0#############E+00"/>
    <numFmt numFmtId="72" formatCode="0.0#################E+00"/>
    <numFmt numFmtId="73" formatCode="0.0######E+00"/>
    <numFmt numFmtId="74" formatCode="0.0################E+00"/>
    <numFmt numFmtId="75" formatCode="0.0############E+00"/>
    <numFmt numFmtId="76" formatCode="0.0##################E+00"/>
    <numFmt numFmtId="77" formatCode="0.0###############E+00"/>
    <numFmt numFmtId="78" formatCode="0.0###########E+00"/>
    <numFmt numFmtId="79" formatCode="0.0###################E+00"/>
    <numFmt numFmtId="80" formatCode="0.0#######################################E+00"/>
    <numFmt numFmtId="81" formatCode="0.0########################E+00"/>
    <numFmt numFmtId="82" formatCode="0.0#E+00"/>
    <numFmt numFmtId="83" formatCode="0.0####################E+00"/>
    <numFmt numFmtId="84" formatCode="0.0###############################E+00"/>
    <numFmt numFmtId="85" formatCode="0.0#####################E+00"/>
    <numFmt numFmtId="86" formatCode="0.0##########################E+00"/>
    <numFmt numFmtId="87" formatCode="0.0#######################E+00"/>
    <numFmt numFmtId="88" formatCode="0.0########################################E+00"/>
    <numFmt numFmtId="89" formatCode="0.0################################E+00"/>
    <numFmt numFmtId="90" formatCode="0.0##E+00"/>
    <numFmt numFmtId="91" formatCode="0.0############################E+00"/>
    <numFmt numFmtId="92" formatCode="0.0##########E+00"/>
  </numFmts>
  <fonts count="7">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sz val="12"/>
      <color indexed="8"/>
      <name val="Helvetica"/>
    </font>
    <font>
      <shadow val="1"/>
      <sz val="12"/>
      <color indexed="29"/>
      <name val="Helvetica"/>
    </font>
  </fonts>
  <fills count="1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31"/>
        <bgColor auto="1"/>
      </patternFill>
    </fill>
  </fills>
  <borders count="89">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4"/>
      </right>
      <top style="thin">
        <color indexed="13"/>
      </top>
      <bottom style="thin">
        <color indexed="14"/>
      </bottom>
      <diagonal/>
    </border>
    <border>
      <left style="thin">
        <color indexed="14"/>
      </left>
      <right style="thin">
        <color indexed="13"/>
      </right>
      <top style="thin">
        <color indexed="13"/>
      </top>
      <bottom style="thin">
        <color indexed="14"/>
      </bottom>
      <diagonal/>
    </border>
    <border>
      <left style="thin">
        <color indexed="14"/>
      </left>
      <right style="thin">
        <color indexed="19"/>
      </right>
      <top style="thin">
        <color indexed="14"/>
      </top>
      <bottom style="thin">
        <color indexed="19"/>
      </bottom>
      <diagonal/>
    </border>
    <border>
      <left style="thin">
        <color indexed="19"/>
      </left>
      <right style="thin">
        <color indexed="19"/>
      </right>
      <top style="thin">
        <color indexed="14"/>
      </top>
      <bottom style="thin">
        <color indexed="19"/>
      </bottom>
      <diagonal/>
    </border>
    <border>
      <left style="thin">
        <color indexed="19"/>
      </left>
      <right style="thin">
        <color indexed="14"/>
      </right>
      <top style="thin">
        <color indexed="14"/>
      </top>
      <bottom style="thin">
        <color indexed="19"/>
      </bottom>
      <diagonal/>
    </border>
    <border>
      <left style="thin">
        <color indexed="14"/>
      </left>
      <right style="thin">
        <color indexed="19"/>
      </right>
      <top style="thin">
        <color indexed="19"/>
      </top>
      <bottom style="thin">
        <color indexed="19"/>
      </bottom>
      <diagonal/>
    </border>
    <border>
      <left style="thin">
        <color indexed="19"/>
      </left>
      <right style="thin">
        <color indexed="19"/>
      </right>
      <top style="thin">
        <color indexed="19"/>
      </top>
      <bottom style="thin">
        <color indexed="19"/>
      </bottom>
      <diagonal/>
    </border>
    <border>
      <left style="thin">
        <color indexed="19"/>
      </left>
      <right style="thin">
        <color indexed="14"/>
      </right>
      <top style="thin">
        <color indexed="19"/>
      </top>
      <bottom style="thin">
        <color indexed="19"/>
      </bottom>
      <diagonal/>
    </border>
    <border>
      <left style="thin">
        <color indexed="19"/>
      </left>
      <right style="thin">
        <color indexed="19"/>
      </right>
      <top style="thin">
        <color indexed="19"/>
      </top>
      <bottom style="thin">
        <color indexed="14"/>
      </bottom>
      <diagonal/>
    </border>
    <border>
      <left style="thin">
        <color indexed="19"/>
      </left>
      <right style="thin">
        <color indexed="14"/>
      </right>
      <top style="thin">
        <color indexed="19"/>
      </top>
      <bottom style="thin">
        <color indexed="14"/>
      </bottom>
      <diagonal/>
    </border>
    <border>
      <left style="thin">
        <color indexed="13"/>
      </left>
      <right style="thin">
        <color indexed="13"/>
      </right>
      <top style="thin">
        <color indexed="13"/>
      </top>
      <bottom style="medium">
        <color indexed="8"/>
      </bottom>
      <diagonal/>
    </border>
    <border>
      <left style="thin">
        <color indexed="13"/>
      </left>
      <right style="medium">
        <color indexed="8"/>
      </right>
      <top style="thin">
        <color indexed="13"/>
      </top>
      <bottom style="thin">
        <color indexed="13"/>
      </bottom>
      <diagonal/>
    </border>
    <border>
      <left style="medium">
        <color indexed="8"/>
      </left>
      <right style="thin">
        <color indexed="13"/>
      </right>
      <top style="medium">
        <color indexed="8"/>
      </top>
      <bottom style="thin">
        <color indexed="13"/>
      </bottom>
      <diagonal/>
    </border>
    <border>
      <left style="thin">
        <color indexed="13"/>
      </left>
      <right style="thin">
        <color indexed="13"/>
      </right>
      <top style="medium">
        <color indexed="8"/>
      </top>
      <bottom style="thin">
        <color indexed="13"/>
      </bottom>
      <diagonal/>
    </border>
    <border>
      <left style="thin">
        <color indexed="13"/>
      </left>
      <right style="medium">
        <color indexed="8"/>
      </right>
      <top style="medium">
        <color indexed="8"/>
      </top>
      <bottom style="thin">
        <color indexed="13"/>
      </bottom>
      <diagonal/>
    </border>
    <border>
      <left style="medium">
        <color indexed="8"/>
      </left>
      <right style="thin">
        <color indexed="13"/>
      </right>
      <top style="thin">
        <color indexed="13"/>
      </top>
      <bottom style="thin">
        <color indexed="13"/>
      </bottom>
      <diagonal/>
    </border>
    <border>
      <left style="medium">
        <color indexed="8"/>
      </left>
      <right style="thin">
        <color indexed="13"/>
      </right>
      <top style="thin">
        <color indexed="13"/>
      </top>
      <bottom style="medium">
        <color indexed="8"/>
      </bottom>
      <diagonal/>
    </border>
    <border>
      <left style="thin">
        <color indexed="13"/>
      </left>
      <right style="medium">
        <color indexed="8"/>
      </right>
      <top style="thin">
        <color indexed="13"/>
      </top>
      <bottom style="medium">
        <color indexed="8"/>
      </bottom>
      <diagonal/>
    </border>
    <border>
      <left style="thin">
        <color indexed="13"/>
      </left>
      <right style="thin">
        <color indexed="13"/>
      </right>
      <top style="thin">
        <color indexed="13"/>
      </top>
      <bottom style="thin">
        <color indexed="30"/>
      </bottom>
      <diagonal/>
    </border>
    <border>
      <left style="thin">
        <color indexed="13"/>
      </left>
      <right style="thin">
        <color indexed="30"/>
      </right>
      <top style="thin">
        <color indexed="13"/>
      </top>
      <bottom style="thin">
        <color indexed="13"/>
      </bottom>
      <diagonal/>
    </border>
    <border>
      <left style="thin">
        <color indexed="30"/>
      </left>
      <right style="thin">
        <color indexed="13"/>
      </right>
      <top style="thin">
        <color indexed="30"/>
      </top>
      <bottom style="thin">
        <color indexed="30"/>
      </bottom>
      <diagonal/>
    </border>
    <border>
      <left style="thin">
        <color indexed="13"/>
      </left>
      <right style="thin">
        <color indexed="30"/>
      </right>
      <top style="thin">
        <color indexed="30"/>
      </top>
      <bottom style="thin">
        <color indexed="30"/>
      </bottom>
      <diagonal/>
    </border>
    <border>
      <left style="thin">
        <color indexed="30"/>
      </left>
      <right style="thin">
        <color indexed="13"/>
      </right>
      <top style="thin">
        <color indexed="13"/>
      </top>
      <bottom style="thin">
        <color indexed="13"/>
      </bottom>
      <diagonal/>
    </border>
    <border>
      <left style="thin">
        <color indexed="13"/>
      </left>
      <right style="thin">
        <color indexed="13"/>
      </right>
      <top style="thin">
        <color indexed="30"/>
      </top>
      <bottom style="thin">
        <color indexed="13"/>
      </bottom>
      <diagonal/>
    </border>
    <border>
      <left style="medium">
        <color indexed="8"/>
      </left>
      <right style="thin">
        <color indexed="14"/>
      </right>
      <top style="medium">
        <color indexed="8"/>
      </top>
      <bottom style="thin">
        <color indexed="13"/>
      </bottom>
      <diagonal/>
    </border>
    <border>
      <left style="thin">
        <color indexed="14"/>
      </left>
      <right style="medium">
        <color indexed="8"/>
      </right>
      <top style="medium">
        <color indexed="8"/>
      </top>
      <bottom style="thin">
        <color indexed="13"/>
      </bottom>
      <diagonal/>
    </border>
    <border>
      <left style="medium">
        <color indexed="8"/>
      </left>
      <right style="thin">
        <color indexed="13"/>
      </right>
      <top style="thin">
        <color indexed="14"/>
      </top>
      <bottom style="thin">
        <color indexed="13"/>
      </bottom>
      <diagonal/>
    </border>
    <border>
      <left style="medium">
        <color indexed="8"/>
      </left>
      <right style="thin">
        <color indexed="14"/>
      </right>
      <top style="thin">
        <color indexed="13"/>
      </top>
      <bottom style="thin">
        <color indexed="13"/>
      </bottom>
      <diagonal/>
    </border>
    <border>
      <left style="thin">
        <color indexed="14"/>
      </left>
      <right style="medium">
        <color indexed="8"/>
      </right>
      <top style="thin">
        <color indexed="13"/>
      </top>
      <bottom style="thin">
        <color indexed="13"/>
      </bottom>
      <diagonal/>
    </border>
    <border>
      <left style="medium">
        <color indexed="8"/>
      </left>
      <right style="thin">
        <color indexed="13"/>
      </right>
      <top style="thin">
        <color indexed="13"/>
      </top>
      <bottom style="thin">
        <color indexed="30"/>
      </bottom>
      <diagonal/>
    </border>
    <border>
      <left style="thin">
        <color indexed="14"/>
      </left>
      <right style="medium">
        <color indexed="17"/>
      </right>
      <top style="thin">
        <color indexed="13"/>
      </top>
      <bottom style="thin">
        <color indexed="13"/>
      </bottom>
      <diagonal/>
    </border>
    <border>
      <left style="medium">
        <color indexed="17"/>
      </left>
      <right style="thin">
        <color indexed="13"/>
      </right>
      <top style="thin">
        <color indexed="30"/>
      </top>
      <bottom style="thin">
        <color indexed="30"/>
      </bottom>
      <diagonal/>
    </border>
    <border>
      <left style="medium">
        <color indexed="8"/>
      </left>
      <right style="thin">
        <color indexed="13"/>
      </right>
      <top style="thin">
        <color indexed="30"/>
      </top>
      <bottom style="thin">
        <color indexed="13"/>
      </bottom>
      <diagonal/>
    </border>
    <border>
      <left style="medium">
        <color indexed="8"/>
      </left>
      <right style="thin">
        <color indexed="14"/>
      </right>
      <top style="thin">
        <color indexed="13"/>
      </top>
      <bottom style="medium">
        <color indexed="8"/>
      </bottom>
      <diagonal/>
    </border>
    <border>
      <left style="thin">
        <color indexed="14"/>
      </left>
      <right style="medium">
        <color indexed="8"/>
      </right>
      <top style="thin">
        <color indexed="13"/>
      </top>
      <bottom style="medium">
        <color indexed="8"/>
      </bottom>
      <diagonal/>
    </border>
    <border>
      <left style="thin">
        <color indexed="13"/>
      </left>
      <right style="thin">
        <color indexed="14"/>
      </right>
      <top style="medium">
        <color indexed="8"/>
      </top>
      <bottom style="thin">
        <color indexed="13"/>
      </bottom>
      <diagonal/>
    </border>
    <border>
      <left style="thin">
        <color indexed="14"/>
      </left>
      <right style="thin">
        <color indexed="13"/>
      </right>
      <top style="medium">
        <color indexed="8"/>
      </top>
      <bottom style="thin">
        <color indexed="13"/>
      </bottom>
      <diagonal/>
    </border>
    <border>
      <left style="thin">
        <color indexed="13"/>
      </left>
      <right style="thin">
        <color indexed="14"/>
      </right>
      <top style="thin">
        <color indexed="13"/>
      </top>
      <bottom style="medium">
        <color indexed="8"/>
      </bottom>
      <diagonal/>
    </border>
    <border>
      <left style="thin">
        <color indexed="14"/>
      </left>
      <right style="thin">
        <color indexed="13"/>
      </right>
      <top style="thin">
        <color indexed="13"/>
      </top>
      <bottom style="medium">
        <color indexed="8"/>
      </bottom>
      <diagonal/>
    </border>
    <border>
      <left style="medium">
        <color indexed="8"/>
      </left>
      <right style="thin">
        <color indexed="14"/>
      </right>
      <top style="medium">
        <color indexed="8"/>
      </top>
      <bottom style="medium">
        <color indexed="8"/>
      </bottom>
      <diagonal/>
    </border>
    <border>
      <left style="thin">
        <color indexed="14"/>
      </left>
      <right style="medium">
        <color indexed="8"/>
      </right>
      <top style="medium">
        <color indexed="8"/>
      </top>
      <bottom style="medium">
        <color indexed="8"/>
      </bottom>
      <diagonal/>
    </border>
    <border>
      <left style="medium">
        <color indexed="8"/>
      </left>
      <right style="thin">
        <color indexed="13"/>
      </right>
      <top style="medium">
        <color indexed="8"/>
      </top>
      <bottom style="medium">
        <color indexed="8"/>
      </bottom>
      <diagonal/>
    </border>
    <border>
      <left style="thin">
        <color indexed="13"/>
      </left>
      <right style="medium">
        <color indexed="8"/>
      </right>
      <top style="medium">
        <color indexed="8"/>
      </top>
      <bottom style="medium">
        <color indexed="8"/>
      </bottom>
      <diagonal/>
    </border>
    <border>
      <left style="medium">
        <color indexed="8"/>
      </left>
      <right style="thin">
        <color indexed="13"/>
      </right>
      <top style="medium">
        <color indexed="8"/>
      </top>
      <bottom style="medium">
        <color indexed="21"/>
      </bottom>
      <diagonal/>
    </border>
    <border>
      <left style="thin">
        <color indexed="13"/>
      </left>
      <right style="thin">
        <color indexed="13"/>
      </right>
      <top style="medium">
        <color indexed="8"/>
      </top>
      <bottom style="medium">
        <color indexed="21"/>
      </bottom>
      <diagonal/>
    </border>
    <border>
      <left style="thin">
        <color indexed="13"/>
      </left>
      <right style="thin">
        <color indexed="14"/>
      </right>
      <top style="medium">
        <color indexed="8"/>
      </top>
      <bottom style="medium">
        <color indexed="8"/>
      </bottom>
      <diagonal/>
    </border>
    <border>
      <left style="thin">
        <color indexed="14"/>
      </left>
      <right style="thin">
        <color indexed="13"/>
      </right>
      <top style="medium">
        <color indexed="8"/>
      </top>
      <bottom style="medium">
        <color indexed="8"/>
      </bottom>
      <diagonal/>
    </border>
    <border>
      <left style="thin">
        <color indexed="13"/>
      </left>
      <right style="medium">
        <color indexed="21"/>
      </right>
      <top style="medium">
        <color indexed="8"/>
      </top>
      <bottom style="thin">
        <color indexed="13"/>
      </bottom>
      <diagonal/>
    </border>
    <border>
      <left style="medium">
        <color indexed="21"/>
      </left>
      <right style="thin">
        <color indexed="13"/>
      </right>
      <top style="medium">
        <color indexed="21"/>
      </top>
      <bottom style="thin">
        <color indexed="13"/>
      </bottom>
      <diagonal/>
    </border>
    <border>
      <left style="thin">
        <color indexed="13"/>
      </left>
      <right style="medium">
        <color indexed="21"/>
      </right>
      <top style="medium">
        <color indexed="21"/>
      </top>
      <bottom style="thin">
        <color indexed="13"/>
      </bottom>
      <diagonal/>
    </border>
    <border>
      <left style="medium">
        <color indexed="21"/>
      </left>
      <right style="thin">
        <color indexed="13"/>
      </right>
      <top style="thin">
        <color indexed="13"/>
      </top>
      <bottom style="thin">
        <color indexed="13"/>
      </bottom>
      <diagonal/>
    </border>
    <border>
      <left style="thin">
        <color indexed="13"/>
      </left>
      <right style="medium">
        <color indexed="21"/>
      </right>
      <top style="thin">
        <color indexed="13"/>
      </top>
      <bottom style="thin">
        <color indexed="13"/>
      </bottom>
      <diagonal/>
    </border>
    <border>
      <left style="medium">
        <color indexed="21"/>
      </left>
      <right style="thin">
        <color indexed="13"/>
      </right>
      <top style="thin">
        <color indexed="13"/>
      </top>
      <bottom style="medium">
        <color indexed="21"/>
      </bottom>
      <diagonal/>
    </border>
    <border>
      <left style="thin">
        <color indexed="13"/>
      </left>
      <right style="medium">
        <color indexed="21"/>
      </right>
      <top style="thin">
        <color indexed="13"/>
      </top>
      <bottom style="medium">
        <color indexed="21"/>
      </bottom>
      <diagonal/>
    </border>
    <border>
      <left style="medium">
        <color indexed="8"/>
      </left>
      <right style="thin">
        <color indexed="14"/>
      </right>
      <top style="thin">
        <color indexed="13"/>
      </top>
      <bottom style="medium">
        <color indexed="23"/>
      </bottom>
      <diagonal/>
    </border>
    <border>
      <left style="thin">
        <color indexed="14"/>
      </left>
      <right style="medium">
        <color indexed="8"/>
      </right>
      <top style="thin">
        <color indexed="13"/>
      </top>
      <bottom style="medium">
        <color indexed="23"/>
      </bottom>
      <diagonal/>
    </border>
    <border>
      <left style="thin">
        <color indexed="13"/>
      </left>
      <right style="thin">
        <color indexed="13"/>
      </right>
      <top style="medium">
        <color indexed="21"/>
      </top>
      <bottom style="thin">
        <color indexed="13"/>
      </bottom>
      <diagonal/>
    </border>
    <border>
      <left style="medium">
        <color indexed="23"/>
      </left>
      <right style="thin">
        <color indexed="14"/>
      </right>
      <top style="medium">
        <color indexed="23"/>
      </top>
      <bottom style="thin">
        <color indexed="13"/>
      </bottom>
      <diagonal/>
    </border>
    <border>
      <left style="thin">
        <color indexed="14"/>
      </left>
      <right style="medium">
        <color indexed="23"/>
      </right>
      <top style="medium">
        <color indexed="23"/>
      </top>
      <bottom style="thin">
        <color indexed="13"/>
      </bottom>
      <diagonal/>
    </border>
    <border>
      <left style="medium">
        <color indexed="23"/>
      </left>
      <right style="thin">
        <color indexed="13"/>
      </right>
      <top style="thin">
        <color indexed="13"/>
      </top>
      <bottom style="thin">
        <color indexed="13"/>
      </bottom>
      <diagonal/>
    </border>
    <border>
      <left style="medium">
        <color indexed="23"/>
      </left>
      <right style="thin">
        <color indexed="14"/>
      </right>
      <top style="thin">
        <color indexed="13"/>
      </top>
      <bottom style="thin">
        <color indexed="13"/>
      </bottom>
      <diagonal/>
    </border>
    <border>
      <left style="thin">
        <color indexed="14"/>
      </left>
      <right style="medium">
        <color indexed="23"/>
      </right>
      <top style="thin">
        <color indexed="13"/>
      </top>
      <bottom style="thin">
        <color indexed="13"/>
      </bottom>
      <diagonal/>
    </border>
    <border>
      <left style="medium">
        <color indexed="23"/>
      </left>
      <right style="thin">
        <color indexed="14"/>
      </right>
      <top style="thin">
        <color indexed="13"/>
      </top>
      <bottom style="medium">
        <color indexed="23"/>
      </bottom>
      <diagonal/>
    </border>
    <border>
      <left style="thin">
        <color indexed="14"/>
      </left>
      <right style="medium">
        <color indexed="23"/>
      </right>
      <top style="thin">
        <color indexed="13"/>
      </top>
      <bottom style="medium">
        <color indexed="23"/>
      </bottom>
      <diagonal/>
    </border>
    <border>
      <left style="thin">
        <color indexed="13"/>
      </left>
      <right style="thin">
        <color indexed="13"/>
      </right>
      <top style="thin">
        <color indexed="13"/>
      </top>
      <bottom style="medium">
        <color indexed="21"/>
      </bottom>
      <diagonal/>
    </border>
    <border>
      <left style="thin">
        <color indexed="13"/>
      </left>
      <right style="thin">
        <color indexed="14"/>
      </right>
      <top style="medium">
        <color indexed="23"/>
      </top>
      <bottom style="thin">
        <color indexed="13"/>
      </bottom>
      <diagonal/>
    </border>
    <border>
      <left style="thin">
        <color indexed="14"/>
      </left>
      <right style="thin">
        <color indexed="13"/>
      </right>
      <top style="medium">
        <color indexed="23"/>
      </top>
      <bottom style="thin">
        <color indexed="13"/>
      </bottom>
      <diagonal/>
    </border>
    <border>
      <left style="thin">
        <color indexed="13"/>
      </left>
      <right style="thin">
        <color indexed="13"/>
      </right>
      <top style="medium">
        <color indexed="21"/>
      </top>
      <bottom style="medium">
        <color indexed="21"/>
      </bottom>
      <diagonal/>
    </border>
    <border>
      <left style="thin">
        <color indexed="13"/>
      </left>
      <right style="thin">
        <color indexed="14"/>
      </right>
      <top style="thin">
        <color indexed="13"/>
      </top>
      <bottom style="medium">
        <color indexed="23"/>
      </bottom>
      <diagonal/>
    </border>
    <border>
      <left style="thin">
        <color indexed="14"/>
      </left>
      <right style="thin">
        <color indexed="13"/>
      </right>
      <top style="thin">
        <color indexed="13"/>
      </top>
      <bottom style="medium">
        <color indexed="23"/>
      </bottom>
      <diagonal/>
    </border>
    <border>
      <left style="thin">
        <color indexed="13"/>
      </left>
      <right style="thin">
        <color indexed="14"/>
      </right>
      <top style="medium">
        <color indexed="23"/>
      </top>
      <bottom style="medium">
        <color indexed="20"/>
      </bottom>
      <diagonal/>
    </border>
    <border>
      <left style="thin">
        <color indexed="14"/>
      </left>
      <right style="thin">
        <color indexed="13"/>
      </right>
      <top style="medium">
        <color indexed="23"/>
      </top>
      <bottom style="medium">
        <color indexed="20"/>
      </bottom>
      <diagonal/>
    </border>
    <border>
      <left style="medium">
        <color indexed="20"/>
      </left>
      <right style="thin">
        <color indexed="14"/>
      </right>
      <top style="medium">
        <color indexed="20"/>
      </top>
      <bottom style="thin">
        <color indexed="13"/>
      </bottom>
      <diagonal/>
    </border>
    <border>
      <left style="thin">
        <color indexed="14"/>
      </left>
      <right style="medium">
        <color indexed="20"/>
      </right>
      <top style="medium">
        <color indexed="20"/>
      </top>
      <bottom style="thin">
        <color indexed="13"/>
      </bottom>
      <diagonal/>
    </border>
    <border>
      <left style="medium">
        <color indexed="20"/>
      </left>
      <right style="thin">
        <color indexed="13"/>
      </right>
      <top style="thin">
        <color indexed="13"/>
      </top>
      <bottom style="thin">
        <color indexed="13"/>
      </bottom>
      <diagonal/>
    </border>
    <border>
      <left style="medium">
        <color indexed="20"/>
      </left>
      <right style="thin">
        <color indexed="14"/>
      </right>
      <top style="thin">
        <color indexed="13"/>
      </top>
      <bottom style="thin">
        <color indexed="13"/>
      </bottom>
      <diagonal/>
    </border>
    <border>
      <left style="thin">
        <color indexed="14"/>
      </left>
      <right style="medium">
        <color indexed="20"/>
      </right>
      <top style="thin">
        <color indexed="13"/>
      </top>
      <bottom style="thin">
        <color indexed="13"/>
      </bottom>
      <diagonal/>
    </border>
    <border>
      <left style="medium">
        <color indexed="20"/>
      </left>
      <right style="thin">
        <color indexed="14"/>
      </right>
      <top style="thin">
        <color indexed="13"/>
      </top>
      <bottom style="medium">
        <color indexed="20"/>
      </bottom>
      <diagonal/>
    </border>
    <border>
      <left style="thin">
        <color indexed="14"/>
      </left>
      <right style="medium">
        <color indexed="20"/>
      </right>
      <top style="thin">
        <color indexed="13"/>
      </top>
      <bottom style="medium">
        <color indexed="20"/>
      </bottom>
      <diagonal/>
    </border>
    <border>
      <left style="thin">
        <color indexed="13"/>
      </left>
      <right style="thin">
        <color indexed="14"/>
      </right>
      <top style="medium">
        <color indexed="20"/>
      </top>
      <bottom style="thin">
        <color indexed="13"/>
      </bottom>
      <diagonal/>
    </border>
    <border>
      <left style="thin">
        <color indexed="14"/>
      </left>
      <right style="thin">
        <color indexed="13"/>
      </right>
      <top style="medium">
        <color indexed="20"/>
      </top>
      <bottom style="thin">
        <color indexed="13"/>
      </bottom>
      <diagonal/>
    </border>
  </borders>
  <cellStyleXfs count="1">
    <xf numFmtId="0" fontId="0" applyNumberFormat="0" applyFont="1" applyFill="0" applyBorder="0" applyAlignment="1" applyProtection="0">
      <alignment vertical="top" wrapText="1"/>
    </xf>
  </cellStyleXfs>
  <cellXfs count="260">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4" fillId="4" borderId="1" applyNumberFormat="0" applyFont="1" applyFill="1" applyBorder="1" applyAlignment="1" applyProtection="0">
      <alignment vertical="top" wrapText="1"/>
    </xf>
    <xf numFmtId="0" fontId="4" fillId="5" borderId="2" applyNumberFormat="0" applyFont="1" applyFill="1" applyBorder="1" applyAlignment="1" applyProtection="0">
      <alignment vertical="top" wrapText="1"/>
    </xf>
    <xf numFmtId="0" fontId="0" borderId="3" applyNumberFormat="0" applyFont="1" applyFill="0" applyBorder="1" applyAlignment="1" applyProtection="0">
      <alignment vertical="top" wrapText="1"/>
    </xf>
    <xf numFmtId="0" fontId="0" borderId="4" applyNumberFormat="0" applyFont="1" applyFill="0" applyBorder="1" applyAlignment="1" applyProtection="0">
      <alignment vertical="top" wrapText="1"/>
    </xf>
    <xf numFmtId="0" fontId="4" fillId="5" borderId="5" applyNumberFormat="0" applyFont="1" applyFill="1" applyBorder="1" applyAlignment="1" applyProtection="0">
      <alignment vertical="top" wrapText="1"/>
    </xf>
    <xf numFmtId="0" fontId="0" borderId="6"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0" fontId="0" borderId="7" applyNumberFormat="1" applyFont="1" applyFill="0" applyBorder="1" applyAlignment="1" applyProtection="0">
      <alignment vertical="top" wrapText="1"/>
    </xf>
    <xf numFmtId="49" fontId="4" fillId="5" borderId="5" applyNumberFormat="1" applyFont="1" applyFill="1" applyBorder="1" applyAlignment="1" applyProtection="0">
      <alignment vertical="top" wrapText="1"/>
    </xf>
    <xf numFmtId="49" fontId="0" borderId="7" applyNumberFormat="1" applyFont="1" applyFill="0" applyBorder="1" applyAlignment="1" applyProtection="0">
      <alignment vertical="top" wrapText="1"/>
    </xf>
    <xf numFmtId="0" fontId="0" fillId="6" borderId="6" applyNumberFormat="1" applyFont="1" applyFill="1" applyBorder="1" applyAlignment="1" applyProtection="0">
      <alignment vertical="top" wrapText="1"/>
    </xf>
    <xf numFmtId="0" fontId="0" fillId="7" borderId="6" applyNumberFormat="1" applyFont="1" applyFill="1" applyBorder="1" applyAlignment="1" applyProtection="0">
      <alignment vertical="top" wrapText="1"/>
    </xf>
    <xf numFmtId="0" fontId="0" borderId="6" applyNumberFormat="0" applyFont="1" applyFill="0" applyBorder="1" applyAlignment="1" applyProtection="0">
      <alignment vertical="top" wrapText="1"/>
    </xf>
    <xf numFmtId="0" fontId="0" fillId="8" borderId="7" applyNumberFormat="1" applyFont="1" applyFill="1" applyBorder="1" applyAlignment="1" applyProtection="0">
      <alignment vertical="top" wrapText="1"/>
    </xf>
    <xf numFmtId="0" fontId="4" fillId="5" borderId="8" applyNumberFormat="0" applyFont="1" applyFill="1" applyBorder="1" applyAlignment="1" applyProtection="0">
      <alignment vertical="top" wrapText="1"/>
    </xf>
    <xf numFmtId="0" fontId="0" borderId="9" applyNumberFormat="0" applyFont="1" applyFill="0" applyBorder="1" applyAlignment="1" applyProtection="0">
      <alignment vertical="top" wrapText="1"/>
    </xf>
    <xf numFmtId="0" fontId="0" borderId="1" applyNumberFormat="0" applyFont="1" applyFill="0" applyBorder="1" applyAlignment="1" applyProtection="0">
      <alignment vertical="top" wrapText="1"/>
    </xf>
    <xf numFmtId="49" fontId="5" borderId="10" applyNumberFormat="1" applyFont="1" applyFill="0" applyBorder="1" applyAlignment="1" applyProtection="0">
      <alignment horizontal="left" vertical="center" wrapText="1" readingOrder="1"/>
    </xf>
    <xf numFmtId="49" fontId="5" borderId="11" applyNumberFormat="1" applyFont="1" applyFill="0" applyBorder="1" applyAlignment="1" applyProtection="0">
      <alignment horizontal="left" vertical="center" wrapText="1" readingOrder="1"/>
    </xf>
    <xf numFmtId="0" fontId="5" borderId="11" applyNumberFormat="1" applyFont="1" applyFill="0" applyBorder="1" applyAlignment="1" applyProtection="0">
      <alignment vertical="center" wrapText="1" readingOrder="1"/>
    </xf>
    <xf numFmtId="0" fontId="0" borderId="11" applyNumberFormat="0" applyFont="1" applyFill="0" applyBorder="1" applyAlignment="1" applyProtection="0">
      <alignment vertical="center" wrapText="1"/>
    </xf>
    <xf numFmtId="0" fontId="0" borderId="12" applyNumberFormat="0" applyFont="1" applyFill="0" applyBorder="1" applyAlignment="1" applyProtection="0">
      <alignment vertical="center" wrapText="1"/>
    </xf>
    <xf numFmtId="49" fontId="5" borderId="13" applyNumberFormat="1" applyFont="1" applyFill="0" applyBorder="1" applyAlignment="1" applyProtection="0">
      <alignment horizontal="left" vertical="center" wrapText="1" readingOrder="1"/>
    </xf>
    <xf numFmtId="49" fontId="5" borderId="14" applyNumberFormat="1" applyFont="1" applyFill="0" applyBorder="1" applyAlignment="1" applyProtection="0">
      <alignment horizontal="left" vertical="center" wrapText="1" readingOrder="1"/>
    </xf>
    <xf numFmtId="0" fontId="5" fillId="6" borderId="14" applyNumberFormat="1" applyFont="1" applyFill="1" applyBorder="1" applyAlignment="1" applyProtection="0">
      <alignment vertical="center" wrapText="1" readingOrder="1"/>
    </xf>
    <xf numFmtId="0" fontId="0" borderId="14" applyNumberFormat="0" applyFont="1" applyFill="0" applyBorder="1" applyAlignment="1" applyProtection="0">
      <alignment vertical="center" wrapText="1"/>
    </xf>
    <xf numFmtId="0" fontId="5" borderId="15" applyNumberFormat="1" applyFont="1" applyFill="0" applyBorder="1" applyAlignment="1" applyProtection="0">
      <alignment vertical="center" wrapText="1" readingOrder="1"/>
    </xf>
    <xf numFmtId="0" fontId="5" borderId="14" applyNumberFormat="1" applyFont="1" applyFill="0" applyBorder="1" applyAlignment="1" applyProtection="0">
      <alignment vertical="center" wrapText="1" readingOrder="1"/>
    </xf>
    <xf numFmtId="0" fontId="0" borderId="15" applyNumberFormat="0" applyFont="1" applyFill="0" applyBorder="1" applyAlignment="1" applyProtection="0">
      <alignment vertical="center" wrapText="1"/>
    </xf>
    <xf numFmtId="0" fontId="4" borderId="13" applyNumberFormat="0" applyFont="1" applyFill="0" applyBorder="1" applyAlignment="1" applyProtection="0">
      <alignment vertical="center" wrapText="1"/>
    </xf>
    <xf numFmtId="0" fontId="0" borderId="14" applyNumberFormat="0" applyFont="1" applyFill="0" applyBorder="1" applyAlignment="1" applyProtection="0">
      <alignment vertical="top" wrapText="1"/>
    </xf>
    <xf numFmtId="0" fontId="5" fillId="9" borderId="14" applyNumberFormat="1" applyFont="1" applyFill="1" applyBorder="1" applyAlignment="1" applyProtection="0">
      <alignment vertical="center" wrapText="1" readingOrder="1"/>
    </xf>
    <xf numFmtId="0" fontId="5" borderId="13" applyNumberFormat="0" applyFont="1" applyFill="0" applyBorder="1" applyAlignment="1" applyProtection="0">
      <alignment horizontal="left" vertical="center" wrapText="1" readingOrder="1"/>
    </xf>
    <xf numFmtId="0" fontId="5" borderId="14" applyNumberFormat="0" applyFont="1" applyFill="0" applyBorder="1" applyAlignment="1" applyProtection="0">
      <alignment horizontal="left" vertical="center" wrapText="1" readingOrder="1"/>
    </xf>
    <xf numFmtId="0" fontId="5" borderId="14" applyNumberFormat="0" applyFont="1" applyFill="0" applyBorder="1" applyAlignment="1" applyProtection="0">
      <alignment vertical="center" wrapText="1" readingOrder="1"/>
    </xf>
    <xf numFmtId="0" fontId="4" borderId="14" applyNumberFormat="0" applyFont="1" applyFill="0" applyBorder="1" applyAlignment="1" applyProtection="0">
      <alignment vertical="center" wrapText="1"/>
    </xf>
    <xf numFmtId="0" fontId="0" borderId="16" applyNumberFormat="0" applyFont="1" applyFill="0" applyBorder="1" applyAlignment="1" applyProtection="0">
      <alignment vertical="center" wrapText="1"/>
    </xf>
    <xf numFmtId="0" fontId="0" borderId="17" applyNumberFormat="0" applyFont="1" applyFill="0" applyBorder="1" applyAlignment="1" applyProtection="0">
      <alignment vertical="center" wrapText="1"/>
    </xf>
    <xf numFmtId="0" fontId="0" applyNumberFormat="1" applyFont="1" applyFill="0" applyBorder="0" applyAlignment="1" applyProtection="0">
      <alignment vertical="top" wrapText="1"/>
    </xf>
    <xf numFmtId="49" fontId="4" fillId="4" borderId="1" applyNumberFormat="1" applyFont="1" applyFill="1" applyBorder="1" applyAlignment="1" applyProtection="0">
      <alignment vertical="top" wrapText="1"/>
    </xf>
    <xf numFmtId="49" fontId="4" fillId="10" borderId="2" applyNumberFormat="1" applyFont="1" applyFill="1" applyBorder="1" applyAlignment="1" applyProtection="0">
      <alignment vertical="top" wrapText="1"/>
    </xf>
    <xf numFmtId="49" fontId="0" fillId="10" borderId="3" applyNumberFormat="1" applyFont="1" applyFill="1" applyBorder="1" applyAlignment="1" applyProtection="0">
      <alignment vertical="top" wrapText="1"/>
    </xf>
    <xf numFmtId="0" fontId="0" fillId="10" borderId="4" applyNumberFormat="0" applyFont="1" applyFill="1" applyBorder="1" applyAlignment="1" applyProtection="0">
      <alignment vertical="top" wrapText="1"/>
    </xf>
    <xf numFmtId="0" fontId="0" fillId="10" borderId="4" applyNumberFormat="1" applyFont="1" applyFill="1" applyBorder="1" applyAlignment="1" applyProtection="0">
      <alignment vertical="top" wrapText="1"/>
    </xf>
    <xf numFmtId="49" fontId="0" fillId="10" borderId="4"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0" fontId="0" fillId="11" borderId="7" applyNumberFormat="1" applyFont="1" applyFill="1" applyBorder="1" applyAlignment="1" applyProtection="0">
      <alignment vertical="top" wrapText="1"/>
    </xf>
    <xf numFmtId="0" fontId="0" fillId="7" borderId="7" applyNumberFormat="1" applyFont="1" applyFill="1" applyBorder="1" applyAlignment="1" applyProtection="0">
      <alignment vertical="top" wrapText="1"/>
    </xf>
    <xf numFmtId="0" fontId="0" fillId="12" borderId="7" applyNumberFormat="1" applyFont="1" applyFill="1" applyBorder="1" applyAlignment="1" applyProtection="0">
      <alignment vertical="top" wrapText="1"/>
    </xf>
    <xf numFmtId="0" fontId="0" fillId="13" borderId="7" applyNumberFormat="1" applyFont="1" applyFill="1" applyBorder="1" applyAlignment="1" applyProtection="0">
      <alignment vertical="top" wrapText="1"/>
    </xf>
    <xf numFmtId="0" fontId="0" fillId="13" borderId="7" applyNumberFormat="0" applyFont="1" applyFill="1" applyBorder="1" applyAlignment="1" applyProtection="0">
      <alignment vertical="top" wrapText="1"/>
    </xf>
    <xf numFmtId="0" fontId="0" fillId="9" borderId="7" applyNumberFormat="1" applyFont="1" applyFill="1" applyBorder="1" applyAlignment="1" applyProtection="0">
      <alignment vertical="top" wrapText="1"/>
    </xf>
    <xf numFmtId="59" fontId="0" fillId="9" borderId="7" applyNumberFormat="1" applyFont="1" applyFill="1" applyBorder="1" applyAlignment="1" applyProtection="0">
      <alignment vertical="top" wrapText="1"/>
    </xf>
    <xf numFmtId="60" fontId="0" borderId="7" applyNumberFormat="1" applyFont="1" applyFill="0" applyBorder="1" applyAlignment="1" applyProtection="0">
      <alignment vertical="top" wrapText="1"/>
    </xf>
    <xf numFmtId="0" fontId="0" fillId="14" borderId="7" applyNumberFormat="1" applyFont="1" applyFill="1" applyBorder="1" applyAlignment="1" applyProtection="0">
      <alignment vertical="top" wrapText="1"/>
    </xf>
    <xf numFmtId="0" fontId="0" fillId="15" borderId="7" applyNumberFormat="1" applyFont="1" applyFill="1" applyBorder="1" applyAlignment="1" applyProtection="0">
      <alignment vertical="top" wrapText="1"/>
    </xf>
    <xf numFmtId="0" fontId="0" borderId="18" applyNumberFormat="0" applyFont="1" applyFill="0" applyBorder="1" applyAlignment="1" applyProtection="0">
      <alignment vertical="top" wrapText="1"/>
    </xf>
    <xf numFmtId="0" fontId="0" borderId="19" applyNumberFormat="0" applyFont="1" applyFill="0" applyBorder="1" applyAlignment="1" applyProtection="0">
      <alignment vertical="top" wrapText="1"/>
    </xf>
    <xf numFmtId="49" fontId="0" fillId="7" borderId="20" applyNumberFormat="1" applyFont="1" applyFill="1" applyBorder="1" applyAlignment="1" applyProtection="0">
      <alignment vertical="top" wrapText="1"/>
    </xf>
    <xf numFmtId="49" fontId="0" borderId="21" applyNumberFormat="1" applyFont="1" applyFill="0" applyBorder="1" applyAlignment="1" applyProtection="0">
      <alignment vertical="top" wrapText="1"/>
    </xf>
    <xf numFmtId="49" fontId="0" fillId="7" borderId="21" applyNumberFormat="1" applyFont="1" applyFill="1" applyBorder="1" applyAlignment="1" applyProtection="0">
      <alignment vertical="top" wrapText="1"/>
    </xf>
    <xf numFmtId="49" fontId="0" borderId="22" applyNumberFormat="1" applyFont="1" applyFill="0" applyBorder="1" applyAlignment="1" applyProtection="0">
      <alignment vertical="top" wrapText="1"/>
    </xf>
    <xf numFmtId="0" fontId="0" borderId="23" applyNumberFormat="1" applyFont="1" applyFill="0" applyBorder="1" applyAlignment="1" applyProtection="0">
      <alignment vertical="top" wrapText="1"/>
    </xf>
    <xf numFmtId="59" fontId="0" borderId="7" applyNumberFormat="1" applyFont="1" applyFill="0" applyBorder="1" applyAlignment="1" applyProtection="0">
      <alignment vertical="top" wrapText="1"/>
    </xf>
    <xf numFmtId="61" fontId="0" borderId="19" applyNumberFormat="1" applyFont="1" applyFill="0" applyBorder="1" applyAlignment="1" applyProtection="0">
      <alignment vertical="top" wrapText="1"/>
    </xf>
    <xf numFmtId="0" fontId="0" borderId="23" applyNumberFormat="0" applyFont="1" applyFill="0" applyBorder="1" applyAlignment="1" applyProtection="0">
      <alignment vertical="top" wrapText="1"/>
    </xf>
    <xf numFmtId="0" fontId="0" fillId="16" borderId="7" applyNumberFormat="1" applyFont="1" applyFill="1" applyBorder="1" applyAlignment="1" applyProtection="0">
      <alignment vertical="top" wrapText="1"/>
    </xf>
    <xf numFmtId="49" fontId="0" borderId="19" applyNumberFormat="1" applyFont="1" applyFill="0" applyBorder="1" applyAlignment="1" applyProtection="0">
      <alignment vertical="top" wrapText="1"/>
    </xf>
    <xf numFmtId="0" fontId="0" borderId="24" applyNumberFormat="0" applyFont="1" applyFill="0" applyBorder="1" applyAlignment="1" applyProtection="0">
      <alignment vertical="top" wrapText="1"/>
    </xf>
    <xf numFmtId="61" fontId="0" borderId="25" applyNumberFormat="1" applyFont="1" applyFill="0" applyBorder="1" applyAlignment="1" applyProtection="0">
      <alignment vertical="top" wrapText="1"/>
    </xf>
    <xf numFmtId="0" fontId="0" borderId="21" applyNumberFormat="0" applyFont="1" applyFill="0" applyBorder="1" applyAlignment="1" applyProtection="0">
      <alignment vertical="top" wrapText="1"/>
    </xf>
    <xf numFmtId="0" fontId="0" applyNumberFormat="1" applyFont="1" applyFill="0" applyBorder="0" applyAlignment="1" applyProtection="0">
      <alignment vertical="top" wrapText="1"/>
    </xf>
    <xf numFmtId="49" fontId="4" fillId="5" borderId="2" applyNumberFormat="1" applyFont="1" applyFill="1" applyBorder="1" applyAlignment="1" applyProtection="0">
      <alignment vertical="top" wrapText="1"/>
    </xf>
    <xf numFmtId="0" fontId="0" borderId="3" applyNumberFormat="1" applyFont="1" applyFill="0" applyBorder="1" applyAlignment="1" applyProtection="0">
      <alignment vertical="top" wrapText="1"/>
    </xf>
    <xf numFmtId="0" fontId="0" borderId="4"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0" borderId="3" applyNumberFormat="1" applyFont="1" applyFill="0" applyBorder="1" applyAlignment="1" applyProtection="0">
      <alignment vertical="top" wrapText="1"/>
    </xf>
    <xf numFmtId="62" fontId="0" borderId="4"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63" fontId="0" borderId="4" applyNumberFormat="1" applyFont="1" applyFill="0" applyBorder="1" applyAlignment="1" applyProtection="0">
      <alignment vertical="top" wrapText="1"/>
    </xf>
    <xf numFmtId="0" fontId="0" fillId="8" borderId="4" applyNumberFormat="1" applyFont="1" applyFill="1" applyBorder="1" applyAlignment="1" applyProtection="0">
      <alignment vertical="top" wrapText="1"/>
    </xf>
    <xf numFmtId="0" fontId="0" fillId="8" borderId="4" applyNumberFormat="0" applyFont="1" applyFill="1" applyBorder="1" applyAlignment="1" applyProtection="0">
      <alignment vertical="top" wrapText="1"/>
    </xf>
    <xf numFmtId="64" fontId="0" borderId="7" applyNumberFormat="1" applyFont="1" applyFill="0" applyBorder="1" applyAlignment="1" applyProtection="0">
      <alignment vertical="top" wrapText="1"/>
    </xf>
    <xf numFmtId="65" fontId="0" borderId="7" applyNumberFormat="1" applyFont="1" applyFill="0" applyBorder="1" applyAlignment="1" applyProtection="0">
      <alignment vertical="top" wrapText="1"/>
    </xf>
    <xf numFmtId="0" fontId="0" fillId="8" borderId="7" applyNumberFormat="0" applyFont="1" applyFill="1" applyBorder="1" applyAlignment="1" applyProtection="0">
      <alignment vertical="top" wrapText="1"/>
    </xf>
    <xf numFmtId="66" fontId="0" borderId="7" applyNumberFormat="1" applyFont="1" applyFill="0" applyBorder="1" applyAlignment="1" applyProtection="0">
      <alignment vertical="top" wrapText="1"/>
    </xf>
    <xf numFmtId="67" fontId="0" borderId="7" applyNumberFormat="1" applyFont="1" applyFill="0" applyBorder="1" applyAlignment="1" applyProtection="0">
      <alignment vertical="top" wrapText="1"/>
    </xf>
    <xf numFmtId="65" fontId="0" fillId="8" borderId="7" applyNumberFormat="1" applyFont="1" applyFill="1" applyBorder="1" applyAlignment="1" applyProtection="0">
      <alignment vertical="top" wrapText="1"/>
    </xf>
    <xf numFmtId="68" fontId="0" borderId="7" applyNumberFormat="1" applyFont="1" applyFill="0" applyBorder="1" applyAlignment="1" applyProtection="0">
      <alignment vertical="top" wrapText="1"/>
    </xf>
    <xf numFmtId="69" fontId="0" borderId="7" applyNumberFormat="1" applyFont="1" applyFill="0" applyBorder="1" applyAlignment="1" applyProtection="0">
      <alignment vertical="top" wrapText="1"/>
    </xf>
    <xf numFmtId="70" fontId="0" borderId="7" applyNumberFormat="1" applyFont="1" applyFill="0" applyBorder="1" applyAlignment="1" applyProtection="0">
      <alignment vertical="top" wrapText="1"/>
    </xf>
    <xf numFmtId="71" fontId="0" borderId="7" applyNumberFormat="1" applyFont="1" applyFill="0" applyBorder="1" applyAlignment="1" applyProtection="0">
      <alignment vertical="top" wrapText="1"/>
    </xf>
    <xf numFmtId="72" fontId="0" borderId="7" applyNumberFormat="1" applyFont="1" applyFill="0" applyBorder="1" applyAlignment="1" applyProtection="0">
      <alignment vertical="top" wrapText="1"/>
    </xf>
    <xf numFmtId="73" fontId="0" borderId="7" applyNumberFormat="1" applyFont="1" applyFill="0" applyBorder="1" applyAlignment="1" applyProtection="0">
      <alignment vertical="top" wrapText="1"/>
    </xf>
    <xf numFmtId="74" fontId="0" borderId="7" applyNumberFormat="1" applyFont="1" applyFill="0" applyBorder="1" applyAlignment="1" applyProtection="0">
      <alignment vertical="top" wrapText="1"/>
    </xf>
    <xf numFmtId="75" fontId="0" borderId="7" applyNumberFormat="1" applyFont="1" applyFill="0" applyBorder="1" applyAlignment="1" applyProtection="0">
      <alignment vertical="top" wrapText="1"/>
    </xf>
    <xf numFmtId="76" fontId="0" borderId="7" applyNumberFormat="1" applyFont="1" applyFill="0" applyBorder="1" applyAlignment="1" applyProtection="0">
      <alignment vertical="top" wrapText="1"/>
    </xf>
    <xf numFmtId="77" fontId="0" borderId="7" applyNumberFormat="1" applyFont="1" applyFill="0" applyBorder="1" applyAlignment="1" applyProtection="0">
      <alignment vertical="top" wrapText="1"/>
    </xf>
    <xf numFmtId="49" fontId="4" borderId="6" applyNumberFormat="1" applyFont="1" applyFill="0" applyBorder="1" applyAlignment="1" applyProtection="0">
      <alignment vertical="top" wrapText="1"/>
    </xf>
    <xf numFmtId="49" fontId="4" borderId="7" applyNumberFormat="1" applyFont="1" applyFill="0" applyBorder="1" applyAlignment="1" applyProtection="0">
      <alignment vertical="top" wrapText="1"/>
    </xf>
    <xf numFmtId="0" fontId="4" fillId="5" borderId="5" applyNumberFormat="1" applyFont="1" applyFill="1" applyBorder="1" applyAlignment="1" applyProtection="0">
      <alignment vertical="top" wrapText="1"/>
    </xf>
    <xf numFmtId="78"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68" fontId="0" borderId="4" applyNumberFormat="1" applyFont="1" applyFill="0" applyBorder="1" applyAlignment="1" applyProtection="0">
      <alignment vertical="top" wrapText="1"/>
    </xf>
    <xf numFmtId="79" fontId="0" borderId="7" applyNumberFormat="1" applyFont="1" applyFill="0" applyBorder="1" applyAlignment="1" applyProtection="0">
      <alignment vertical="top" wrapText="1"/>
    </xf>
    <xf numFmtId="0" fontId="0" borderId="26" applyNumberFormat="0" applyFont="1" applyFill="0" applyBorder="1" applyAlignment="1" applyProtection="0">
      <alignment vertical="top" wrapText="1"/>
    </xf>
    <xf numFmtId="49" fontId="0" borderId="26" applyNumberFormat="1" applyFont="1" applyFill="0" applyBorder="1" applyAlignment="1" applyProtection="0">
      <alignment vertical="top" wrapText="1"/>
    </xf>
    <xf numFmtId="80" fontId="0" borderId="7" applyNumberFormat="1" applyFont="1" applyFill="0" applyBorder="1" applyAlignment="1" applyProtection="0">
      <alignment vertical="top" wrapText="1"/>
    </xf>
    <xf numFmtId="78" fontId="0" borderId="27" applyNumberFormat="1" applyFont="1" applyFill="0" applyBorder="1" applyAlignment="1" applyProtection="0">
      <alignment vertical="top" wrapText="1"/>
    </xf>
    <xf numFmtId="49" fontId="0" fillId="7" borderId="28" applyNumberFormat="1" applyFont="1" applyFill="1" applyBorder="1" applyAlignment="1" applyProtection="0">
      <alignment vertical="top" wrapText="1"/>
    </xf>
    <xf numFmtId="49" fontId="0" fillId="7" borderId="29" applyNumberFormat="1" applyFont="1" applyFill="1" applyBorder="1" applyAlignment="1" applyProtection="0">
      <alignment vertical="top" wrapText="1"/>
    </xf>
    <xf numFmtId="0" fontId="0" borderId="30" applyNumberFormat="0" applyFont="1" applyFill="0" applyBorder="1" applyAlignment="1" applyProtection="0">
      <alignment vertical="top" wrapText="1"/>
    </xf>
    <xf numFmtId="0" fontId="0" borderId="31" applyNumberFormat="0" applyFont="1" applyFill="0" applyBorder="1" applyAlignment="1" applyProtection="0">
      <alignment vertical="top" wrapText="1"/>
    </xf>
    <xf numFmtId="49" fontId="0" borderId="31" applyNumberFormat="1" applyFont="1" applyFill="0" applyBorder="1" applyAlignment="1" applyProtection="0">
      <alignment vertical="top" wrapText="1"/>
    </xf>
    <xf numFmtId="81" fontId="0" borderId="7" applyNumberFormat="1" applyFont="1" applyFill="0" applyBorder="1" applyAlignment="1" applyProtection="0">
      <alignment vertical="top" wrapText="1"/>
    </xf>
    <xf numFmtId="59" fontId="0" fillId="6" borderId="7" applyNumberFormat="1" applyFont="1" applyFill="1" applyBorder="1" applyAlignment="1" applyProtection="0">
      <alignment vertical="top" wrapText="1"/>
    </xf>
    <xf numFmtId="82" fontId="0" borderId="7" applyNumberFormat="1" applyFont="1" applyFill="0" applyBorder="1" applyAlignment="1" applyProtection="0">
      <alignment vertical="top" wrapText="1"/>
    </xf>
    <xf numFmtId="49" fontId="0" fillId="11" borderId="7" applyNumberFormat="1" applyFont="1" applyFill="1" applyBorder="1" applyAlignment="1" applyProtection="0">
      <alignment vertical="top" wrapText="1"/>
    </xf>
    <xf numFmtId="49" fontId="0" fillId="7" borderId="7" applyNumberFormat="1" applyFont="1" applyFill="1" applyBorder="1" applyAlignment="1" applyProtection="0">
      <alignment vertical="top" wrapText="1"/>
    </xf>
    <xf numFmtId="83" fontId="0" fillId="8" borderId="7" applyNumberFormat="1" applyFont="1" applyFill="1" applyBorder="1" applyAlignment="1" applyProtection="0">
      <alignment vertical="top" wrapText="1"/>
    </xf>
    <xf numFmtId="0" fontId="0" fillId="6" borderId="7" applyNumberFormat="1" applyFont="1" applyFill="1" applyBorder="1" applyAlignment="1" applyProtection="0">
      <alignment vertical="top" wrapText="1"/>
    </xf>
    <xf numFmtId="84" fontId="0" fillId="14" borderId="7" applyNumberFormat="1" applyFont="1" applyFill="1" applyBorder="1" applyAlignment="1" applyProtection="0">
      <alignment vertical="top" wrapText="1"/>
    </xf>
    <xf numFmtId="49" fontId="0" fillId="6" borderId="7" applyNumberFormat="1" applyFont="1" applyFill="1" applyBorder="1" applyAlignment="1" applyProtection="0">
      <alignment vertical="top" wrapText="1"/>
    </xf>
    <xf numFmtId="49" fontId="0" fillId="14" borderId="7" applyNumberFormat="1" applyFont="1" applyFill="1" applyBorder="1" applyAlignment="1" applyProtection="0">
      <alignment vertical="top" wrapText="1"/>
    </xf>
    <xf numFmtId="49" fontId="0" fillId="8" borderId="7" applyNumberFormat="1" applyFont="1" applyFill="1" applyBorder="1" applyAlignment="1" applyProtection="0">
      <alignment vertical="top" wrapText="1"/>
    </xf>
    <xf numFmtId="85" fontId="0" borderId="7" applyNumberFormat="1" applyFont="1" applyFill="0" applyBorder="1" applyAlignment="1" applyProtection="0">
      <alignment vertical="top" wrapText="1"/>
    </xf>
    <xf numFmtId="86" fontId="0" fillId="14" borderId="7" applyNumberFormat="1" applyFont="1" applyFill="1" applyBorder="1" applyAlignment="1" applyProtection="0">
      <alignment vertical="top" wrapText="1"/>
    </xf>
    <xf numFmtId="62" fontId="0" borderId="7" applyNumberFormat="1" applyFont="1" applyFill="0" applyBorder="1" applyAlignment="1" applyProtection="0">
      <alignment vertical="top" wrapText="1"/>
    </xf>
    <xf numFmtId="0" fontId="0" fillId="12" borderId="7" applyNumberFormat="0" applyFont="1" applyFill="1" applyBorder="1" applyAlignment="1" applyProtection="0">
      <alignment vertical="top" wrapText="1"/>
    </xf>
    <xf numFmtId="49" fontId="0" fillId="12" borderId="7" applyNumberFormat="1" applyFont="1" applyFill="1" applyBorder="1" applyAlignment="1" applyProtection="0">
      <alignment vertical="top" wrapText="1"/>
    </xf>
    <xf numFmtId="63"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4" fillId="4" borderId="18" applyNumberFormat="0" applyFont="1" applyFill="1" applyBorder="1" applyAlignment="1" applyProtection="0">
      <alignment vertical="top" wrapText="1"/>
    </xf>
    <xf numFmtId="49" fontId="4" fillId="5" borderId="32" applyNumberFormat="1" applyFont="1" applyFill="1" applyBorder="1" applyAlignment="1" applyProtection="0">
      <alignment vertical="top" wrapText="1"/>
    </xf>
    <xf numFmtId="59" fontId="0" borderId="33" applyNumberFormat="1" applyFont="1" applyFill="0" applyBorder="1" applyAlignment="1" applyProtection="0">
      <alignment vertical="top" wrapText="1"/>
    </xf>
    <xf numFmtId="49" fontId="0" borderId="34" applyNumberFormat="1" applyFont="1" applyFill="0" applyBorder="1" applyAlignment="1" applyProtection="0">
      <alignment vertical="top" wrapText="1"/>
    </xf>
    <xf numFmtId="49" fontId="4" fillId="5" borderId="35" applyNumberFormat="1" applyFont="1" applyFill="1" applyBorder="1" applyAlignment="1" applyProtection="0">
      <alignment vertical="top" wrapText="1"/>
    </xf>
    <xf numFmtId="0" fontId="0" borderId="36" applyNumberFormat="1" applyFont="1" applyFill="0" applyBorder="1" applyAlignment="1" applyProtection="0">
      <alignment vertical="top" wrapText="1"/>
    </xf>
    <xf numFmtId="79" fontId="0" borderId="36" applyNumberFormat="1" applyFont="1" applyFill="0" applyBorder="1" applyAlignment="1" applyProtection="0">
      <alignment vertical="top" wrapText="1"/>
    </xf>
    <xf numFmtId="0" fontId="0" borderId="37" applyNumberFormat="0" applyFont="1" applyFill="0" applyBorder="1" applyAlignment="1" applyProtection="0">
      <alignment vertical="top" wrapText="1"/>
    </xf>
    <xf numFmtId="59" fontId="0" borderId="38" applyNumberFormat="1" applyFont="1" applyFill="0" applyBorder="1" applyAlignment="1" applyProtection="0">
      <alignment vertical="top" wrapText="1"/>
    </xf>
    <xf numFmtId="49" fontId="0" fillId="7" borderId="39" applyNumberFormat="1" applyFont="1" applyFill="1" applyBorder="1" applyAlignment="1" applyProtection="0">
      <alignment vertical="top" wrapText="1"/>
    </xf>
    <xf numFmtId="0" fontId="0" borderId="40" applyNumberFormat="0" applyFont="1" applyFill="0" applyBorder="1" applyAlignment="1" applyProtection="0">
      <alignment vertical="top" wrapText="1"/>
    </xf>
    <xf numFmtId="68" fontId="0" borderId="36" applyNumberFormat="1" applyFont="1" applyFill="0" applyBorder="1" applyAlignment="1" applyProtection="0">
      <alignment vertical="top" wrapText="1"/>
    </xf>
    <xf numFmtId="81" fontId="0" borderId="36" applyNumberFormat="1" applyFont="1" applyFill="0" applyBorder="1" applyAlignment="1" applyProtection="0">
      <alignment vertical="top" wrapText="1"/>
    </xf>
    <xf numFmtId="82" fontId="0" borderId="36" applyNumberFormat="1" applyFont="1" applyFill="0" applyBorder="1" applyAlignment="1" applyProtection="0">
      <alignment vertical="top" wrapText="1"/>
    </xf>
    <xf numFmtId="49" fontId="4" fillId="5" borderId="41" applyNumberFormat="1" applyFont="1" applyFill="1" applyBorder="1" applyAlignment="1" applyProtection="0">
      <alignment vertical="top" wrapText="1"/>
    </xf>
    <xf numFmtId="59" fontId="0" borderId="42" applyNumberFormat="1" applyFont="1" applyFill="0" applyBorder="1" applyAlignment="1" applyProtection="0">
      <alignment vertical="top" wrapText="1"/>
    </xf>
    <xf numFmtId="49" fontId="4" fillId="5" borderId="43" applyNumberFormat="1" applyFont="1" applyFill="1" applyBorder="1" applyAlignment="1" applyProtection="0">
      <alignment vertical="top" wrapText="1"/>
    </xf>
    <xf numFmtId="75" fontId="0" fillId="8" borderId="44" applyNumberFormat="1" applyFont="1" applyFill="1" applyBorder="1" applyAlignment="1" applyProtection="0">
      <alignment vertical="top" wrapText="1"/>
    </xf>
    <xf numFmtId="0" fontId="4" fillId="5" borderId="45" applyNumberFormat="0" applyFont="1" applyFill="1" applyBorder="1" applyAlignment="1" applyProtection="0">
      <alignment vertical="top" wrapText="1"/>
    </xf>
    <xf numFmtId="49" fontId="0" borderId="46" applyNumberFormat="1" applyFont="1" applyFill="0" applyBorder="1" applyAlignment="1" applyProtection="0">
      <alignment vertical="top" wrapText="1"/>
    </xf>
    <xf numFmtId="87" fontId="0" fillId="14" borderId="7" applyNumberFormat="1" applyFont="1" applyFill="1" applyBorder="1" applyAlignment="1" applyProtection="0">
      <alignment vertical="top" wrapText="1"/>
    </xf>
    <xf numFmtId="49" fontId="4" fillId="5" borderId="47" applyNumberFormat="1" applyFont="1" applyFill="1" applyBorder="1" applyAlignment="1" applyProtection="0">
      <alignment vertical="top" wrapText="1"/>
    </xf>
    <xf numFmtId="0" fontId="0" fillId="12" borderId="48" applyNumberFormat="1" applyFont="1" applyFill="1" applyBorder="1" applyAlignment="1" applyProtection="0">
      <alignment vertical="top" wrapText="1"/>
    </xf>
    <xf numFmtId="71" fontId="0" borderId="44" applyNumberFormat="1" applyFont="1" applyFill="0" applyBorder="1" applyAlignment="1" applyProtection="0">
      <alignment vertical="top" wrapText="1"/>
    </xf>
    <xf numFmtId="75" fontId="0" fillId="8" borderId="46" applyNumberFormat="1" applyFont="1" applyFill="1" applyBorder="1" applyAlignment="1" applyProtection="0">
      <alignment vertical="top" wrapText="1"/>
    </xf>
    <xf numFmtId="0" fontId="4" fillId="5" borderId="19" applyNumberFormat="0" applyFont="1" applyFill="1" applyBorder="1" applyAlignment="1" applyProtection="0">
      <alignment vertical="top" wrapText="1"/>
    </xf>
    <xf numFmtId="49" fontId="0" borderId="49" applyNumberFormat="1" applyFont="1" applyFill="0" applyBorder="1" applyAlignment="1" applyProtection="0">
      <alignment vertical="top" wrapText="1"/>
    </xf>
    <xf numFmtId="76" fontId="0" fillId="14" borderId="50" applyNumberFormat="1" applyFont="1" applyFill="1" applyBorder="1" applyAlignment="1" applyProtection="0">
      <alignment vertical="top" wrapText="1"/>
    </xf>
    <xf numFmtId="59" fontId="0" borderId="44" applyNumberFormat="1" applyFont="1" applyFill="0" applyBorder="1" applyAlignment="1" applyProtection="0">
      <alignment vertical="top" wrapText="1"/>
    </xf>
    <xf numFmtId="49" fontId="0" borderId="20" applyNumberFormat="1" applyFont="1" applyFill="0" applyBorder="1" applyAlignment="1" applyProtection="0">
      <alignment vertical="top" wrapText="1"/>
    </xf>
    <xf numFmtId="88" fontId="0" borderId="22" applyNumberFormat="1" applyFont="1" applyFill="0" applyBorder="1" applyAlignment="1" applyProtection="0">
      <alignment vertical="top" wrapText="1"/>
    </xf>
    <xf numFmtId="49" fontId="4" fillId="5" borderId="45" applyNumberFormat="1" applyFont="1" applyFill="1" applyBorder="1" applyAlignment="1" applyProtection="0">
      <alignment vertical="top" wrapText="1"/>
    </xf>
    <xf numFmtId="64" fontId="0" borderId="46" applyNumberFormat="1" applyFont="1" applyFill="0" applyBorder="1" applyAlignment="1" applyProtection="0">
      <alignment vertical="top" wrapText="1"/>
    </xf>
    <xf numFmtId="49" fontId="0" borderId="23" applyNumberFormat="1" applyFont="1" applyFill="0" applyBorder="1" applyAlignment="1" applyProtection="0">
      <alignment vertical="top" wrapText="1"/>
    </xf>
    <xf numFmtId="89" fontId="0" borderId="19" applyNumberFormat="1" applyFont="1" applyFill="0" applyBorder="1" applyAlignment="1" applyProtection="0">
      <alignment vertical="top" wrapText="1"/>
    </xf>
    <xf numFmtId="62" fontId="0" borderId="33" applyNumberFormat="1" applyFont="1" applyFill="0" applyBorder="1" applyAlignment="1" applyProtection="0">
      <alignment vertical="top" wrapText="1"/>
    </xf>
    <xf numFmtId="65" fontId="0" borderId="19" applyNumberFormat="1" applyFont="1" applyFill="0" applyBorder="1" applyAlignment="1" applyProtection="0">
      <alignment vertical="top" wrapText="1"/>
    </xf>
    <xf numFmtId="67" fontId="0" borderId="36" applyNumberFormat="1" applyFont="1" applyFill="0" applyBorder="1" applyAlignment="1" applyProtection="0">
      <alignment vertical="top" wrapText="1"/>
    </xf>
    <xf numFmtId="59" fontId="0" borderId="19" applyNumberFormat="1" applyFont="1" applyFill="0" applyBorder="1" applyAlignment="1" applyProtection="0">
      <alignment vertical="top" wrapText="1"/>
    </xf>
    <xf numFmtId="63" fontId="0" fillId="11" borderId="36" applyNumberFormat="1" applyFont="1" applyFill="1" applyBorder="1" applyAlignment="1" applyProtection="0">
      <alignment vertical="top" wrapText="1"/>
    </xf>
    <xf numFmtId="90" fontId="0" fillId="7" borderId="19" applyNumberFormat="1" applyFont="1" applyFill="1" applyBorder="1" applyAlignment="1" applyProtection="0">
      <alignment vertical="top" wrapText="1"/>
    </xf>
    <xf numFmtId="64" fontId="0" borderId="36" applyNumberFormat="1" applyFont="1" applyFill="0" applyBorder="1" applyAlignment="1" applyProtection="0">
      <alignment vertical="top" wrapText="1"/>
    </xf>
    <xf numFmtId="63" fontId="0" borderId="19" applyNumberFormat="1" applyFont="1" applyFill="0" applyBorder="1" applyAlignment="1" applyProtection="0">
      <alignment vertical="top" wrapText="1"/>
    </xf>
    <xf numFmtId="0" fontId="0" borderId="25" applyNumberFormat="0" applyFont="1" applyFill="0" applyBorder="1" applyAlignment="1" applyProtection="0">
      <alignment vertical="top" wrapText="1"/>
    </xf>
    <xf numFmtId="91" fontId="0" fillId="7" borderId="25" applyNumberFormat="1" applyFont="1" applyFill="1" applyBorder="1" applyAlignment="1" applyProtection="0">
      <alignment vertical="top" wrapText="1"/>
    </xf>
    <xf numFmtId="62" fontId="0" fillId="14" borderId="42" applyNumberFormat="1" applyFont="1" applyFill="1" applyBorder="1" applyAlignment="1" applyProtection="0">
      <alignment vertical="top" wrapText="1"/>
    </xf>
    <xf numFmtId="78" fontId="0" borderId="50" applyNumberFormat="1" applyFont="1" applyFill="0" applyBorder="1" applyAlignment="1" applyProtection="0">
      <alignment vertical="top" wrapText="1"/>
    </xf>
    <xf numFmtId="0" fontId="0" borderId="51" applyNumberFormat="0" applyFont="1" applyFill="0" applyBorder="1" applyAlignment="1" applyProtection="0">
      <alignment vertical="top" wrapText="1"/>
    </xf>
    <xf numFmtId="0" fontId="0" borderId="52" applyNumberFormat="0" applyFont="1" applyFill="0" applyBorder="1" applyAlignment="1" applyProtection="0">
      <alignment vertical="top" wrapText="1"/>
    </xf>
    <xf numFmtId="0" fontId="4" fillId="5" borderId="53" applyNumberFormat="0" applyFont="1" applyFill="1" applyBorder="1" applyAlignment="1" applyProtection="0">
      <alignment vertical="top" wrapText="1"/>
    </xf>
    <xf numFmtId="0" fontId="0" borderId="54" applyNumberFormat="0" applyFont="1" applyFill="0" applyBorder="1" applyAlignment="1" applyProtection="0">
      <alignment vertical="top" wrapText="1"/>
    </xf>
    <xf numFmtId="0" fontId="0" borderId="55" applyNumberFormat="0" applyFont="1" applyFill="0" applyBorder="1" applyAlignment="1" applyProtection="0">
      <alignment vertical="top" wrapText="1"/>
    </xf>
    <xf numFmtId="49" fontId="0" borderId="56" applyNumberFormat="1" applyFont="1" applyFill="0" applyBorder="1" applyAlignment="1" applyProtection="0">
      <alignment vertical="top" wrapText="1"/>
    </xf>
    <xf numFmtId="0" fontId="0" borderId="57" applyNumberFormat="1" applyFont="1" applyFill="0" applyBorder="1" applyAlignment="1" applyProtection="0">
      <alignment vertical="top" wrapText="1"/>
    </xf>
    <xf numFmtId="0" fontId="0" borderId="58" applyNumberFormat="0" applyFont="1" applyFill="0" applyBorder="1" applyAlignment="1" applyProtection="0">
      <alignment vertical="top" wrapText="1"/>
    </xf>
    <xf numFmtId="0" fontId="0" borderId="33" applyNumberFormat="1" applyFont="1" applyFill="0" applyBorder="1" applyAlignment="1" applyProtection="0">
      <alignment vertical="top" wrapText="1"/>
    </xf>
    <xf numFmtId="0" fontId="0" borderId="59" applyNumberFormat="0" applyFont="1" applyFill="0" applyBorder="1" applyAlignment="1" applyProtection="0">
      <alignment vertical="top" wrapText="1"/>
    </xf>
    <xf numFmtId="49" fontId="0" borderId="58" applyNumberFormat="1" applyFont="1" applyFill="0" applyBorder="1" applyAlignment="1" applyProtection="0">
      <alignment vertical="top" wrapText="1"/>
    </xf>
    <xf numFmtId="0" fontId="0" borderId="59" applyNumberFormat="1" applyFont="1" applyFill="0" applyBorder="1" applyAlignment="1" applyProtection="0">
      <alignment vertical="top" wrapText="1"/>
    </xf>
    <xf numFmtId="62" fontId="0" borderId="36" applyNumberFormat="1" applyFont="1" applyFill="0" applyBorder="1" applyAlignment="1" applyProtection="0">
      <alignment vertical="top" wrapText="1"/>
    </xf>
    <xf numFmtId="49" fontId="0" borderId="60" applyNumberFormat="1" applyFont="1" applyFill="0" applyBorder="1" applyAlignment="1" applyProtection="0">
      <alignment vertical="top" wrapText="1"/>
    </xf>
    <xf numFmtId="77" fontId="0" fillId="8" borderId="61" applyNumberFormat="1" applyFont="1" applyFill="1" applyBorder="1" applyAlignment="1" applyProtection="0">
      <alignment vertical="top" wrapText="1"/>
    </xf>
    <xf numFmtId="49" fontId="4" fillId="5" borderId="62" applyNumberFormat="1" applyFont="1" applyFill="1" applyBorder="1" applyAlignment="1" applyProtection="0">
      <alignment vertical="top" wrapText="1"/>
    </xf>
    <xf numFmtId="65" fontId="0" borderId="63" applyNumberFormat="1" applyFont="1" applyFill="0" applyBorder="1" applyAlignment="1" applyProtection="0">
      <alignment vertical="top" wrapText="1"/>
    </xf>
    <xf numFmtId="0" fontId="0" borderId="64" applyNumberFormat="0" applyFont="1" applyFill="0" applyBorder="1" applyAlignment="1" applyProtection="0">
      <alignment vertical="top" wrapText="1"/>
    </xf>
    <xf numFmtId="59" fontId="0" borderId="64" applyNumberFormat="1" applyFont="1" applyFill="0" applyBorder="1" applyAlignment="1" applyProtection="0">
      <alignment vertical="top" wrapText="1"/>
    </xf>
    <xf numFmtId="49" fontId="4" fillId="5" borderId="65" applyNumberFormat="1" applyFont="1" applyFill="1" applyBorder="1" applyAlignment="1" applyProtection="0">
      <alignment vertical="top" wrapText="1"/>
    </xf>
    <xf numFmtId="73" fontId="0" borderId="66" applyNumberFormat="1" applyFont="1" applyFill="0" applyBorder="1" applyAlignment="1" applyProtection="0">
      <alignment vertical="top" wrapText="1"/>
    </xf>
    <xf numFmtId="0" fontId="0" borderId="67" applyNumberFormat="0" applyFont="1" applyFill="0" applyBorder="1" applyAlignment="1" applyProtection="0">
      <alignment vertical="top" wrapText="1"/>
    </xf>
    <xf numFmtId="49" fontId="4" fillId="5" borderId="68" applyNumberFormat="1" applyFont="1" applyFill="1" applyBorder="1" applyAlignment="1" applyProtection="0">
      <alignment vertical="top" wrapText="1"/>
    </xf>
    <xf numFmtId="85" fontId="0" fillId="7" borderId="69" applyNumberFormat="1" applyFont="1" applyFill="1" applyBorder="1" applyAlignment="1" applyProtection="0">
      <alignment vertical="top" wrapText="1"/>
    </xf>
    <xf numFmtId="49" fontId="0" borderId="67" applyNumberFormat="1" applyFont="1" applyFill="0" applyBorder="1" applyAlignment="1" applyProtection="0">
      <alignment vertical="top" wrapText="1"/>
    </xf>
    <xf numFmtId="0" fontId="0" fillId="11" borderId="69" applyNumberFormat="1" applyFont="1" applyFill="1" applyBorder="1" applyAlignment="1" applyProtection="0">
      <alignment vertical="top" wrapText="1"/>
    </xf>
    <xf numFmtId="49" fontId="4" fillId="5" borderId="70" applyNumberFormat="1" applyFont="1" applyFill="1" applyBorder="1" applyAlignment="1" applyProtection="0">
      <alignment vertical="top" wrapText="1"/>
    </xf>
    <xf numFmtId="75" fontId="0" borderId="71" applyNumberFormat="1" applyFont="1" applyFill="0" applyBorder="1" applyAlignment="1" applyProtection="0">
      <alignment vertical="top" wrapText="1"/>
    </xf>
    <xf numFmtId="0" fontId="0" borderId="72" applyNumberFormat="0" applyFont="1" applyFill="0" applyBorder="1" applyAlignment="1" applyProtection="0">
      <alignment vertical="top" wrapText="1"/>
    </xf>
    <xf numFmtId="59" fontId="0" borderId="72" applyNumberFormat="1" applyFont="1" applyFill="0" applyBorder="1" applyAlignment="1" applyProtection="0">
      <alignment vertical="top" wrapText="1"/>
    </xf>
    <xf numFmtId="0" fontId="4" fillId="5" borderId="65" applyNumberFormat="0" applyFont="1" applyFill="1" applyBorder="1" applyAlignment="1" applyProtection="0">
      <alignment vertical="top" wrapText="1"/>
    </xf>
    <xf numFmtId="0" fontId="0" borderId="66" applyNumberFormat="0" applyFont="1" applyFill="0" applyBorder="1" applyAlignment="1" applyProtection="0">
      <alignment vertical="top" wrapText="1"/>
    </xf>
    <xf numFmtId="59" fontId="0" borderId="57" applyNumberFormat="1" applyFont="1" applyFill="0" applyBorder="1" applyAlignment="1" applyProtection="0">
      <alignment vertical="top" wrapText="1"/>
    </xf>
    <xf numFmtId="74" fontId="0" fillId="7" borderId="71" applyNumberFormat="1" applyFont="1" applyFill="1" applyBorder="1" applyAlignment="1" applyProtection="0">
      <alignment vertical="top" wrapText="1"/>
    </xf>
    <xf numFmtId="62" fontId="0" borderId="59" applyNumberFormat="1" applyFont="1" applyFill="0" applyBorder="1" applyAlignment="1" applyProtection="0">
      <alignment vertical="top" wrapText="1"/>
    </xf>
    <xf numFmtId="0" fontId="4" fillId="5" borderId="73" applyNumberFormat="0" applyFont="1" applyFill="1" applyBorder="1" applyAlignment="1" applyProtection="0">
      <alignment vertical="top" wrapText="1"/>
    </xf>
    <xf numFmtId="0" fontId="0" borderId="74" applyNumberFormat="0" applyFont="1" applyFill="0" applyBorder="1" applyAlignment="1" applyProtection="0">
      <alignment vertical="top" wrapText="1"/>
    </xf>
    <xf numFmtId="76" fontId="0" fillId="7" borderId="61" applyNumberFormat="1" applyFont="1" applyFill="1" applyBorder="1" applyAlignment="1" applyProtection="0">
      <alignment vertical="top" wrapText="1"/>
    </xf>
    <xf numFmtId="0" fontId="0" borderId="46" applyNumberFormat="0" applyFont="1" applyFill="0" applyBorder="1" applyAlignment="1" applyProtection="0">
      <alignment vertical="top" wrapText="1"/>
    </xf>
    <xf numFmtId="0" fontId="0" borderId="75" applyNumberFormat="0" applyFont="1" applyFill="0" applyBorder="1" applyAlignment="1" applyProtection="0">
      <alignment vertical="top" wrapText="1"/>
    </xf>
    <xf numFmtId="59" fontId="0" borderId="75" applyNumberFormat="1" applyFont="1" applyFill="0" applyBorder="1" applyAlignment="1" applyProtection="0">
      <alignment vertical="top" wrapText="1"/>
    </xf>
    <xf numFmtId="62" fontId="0" borderId="42" applyNumberFormat="1" applyFont="1" applyFill="0" applyBorder="1" applyAlignment="1" applyProtection="0">
      <alignment vertical="top" wrapText="1"/>
    </xf>
    <xf numFmtId="0" fontId="4" fillId="5" borderId="43" applyNumberFormat="0" applyFont="1" applyFill="1" applyBorder="1" applyAlignment="1" applyProtection="0">
      <alignment vertical="top" wrapText="1"/>
    </xf>
    <xf numFmtId="0" fontId="0" borderId="44" applyNumberFormat="0" applyFont="1" applyFill="0" applyBorder="1" applyAlignment="1" applyProtection="0">
      <alignment vertical="top" wrapText="1"/>
    </xf>
    <xf numFmtId="0" fontId="4" fillId="5" borderId="76" applyNumberFormat="0" applyFont="1" applyFill="1" applyBorder="1" applyAlignment="1" applyProtection="0">
      <alignment vertical="top" wrapText="1"/>
    </xf>
    <xf numFmtId="0" fontId="0" borderId="77" applyNumberFormat="0" applyFont="1" applyFill="0" applyBorder="1" applyAlignment="1" applyProtection="0">
      <alignment vertical="top" wrapText="1"/>
    </xf>
    <xf numFmtId="73" fontId="0" borderId="57" applyNumberFormat="1" applyFont="1" applyFill="0" applyBorder="1" applyAlignment="1" applyProtection="0">
      <alignment vertical="top" wrapText="1"/>
    </xf>
    <xf numFmtId="77" fontId="0" fillId="7" borderId="61" applyNumberFormat="1" applyFont="1" applyFill="1" applyBorder="1" applyAlignment="1" applyProtection="0">
      <alignment vertical="top" wrapText="1"/>
    </xf>
    <xf numFmtId="77" fontId="0" borderId="58" applyNumberFormat="1" applyFont="1" applyFill="0" applyBorder="1" applyAlignment="1" applyProtection="0">
      <alignment vertical="top" wrapText="1"/>
    </xf>
    <xf numFmtId="0" fontId="0" borderId="69" applyNumberFormat="1" applyFont="1" applyFill="0" applyBorder="1" applyAlignment="1" applyProtection="0">
      <alignment vertical="top" wrapText="1"/>
    </xf>
    <xf numFmtId="78" fontId="0" borderId="71" applyNumberFormat="1" applyFont="1" applyFill="0" applyBorder="1" applyAlignment="1" applyProtection="0">
      <alignment vertical="top" wrapText="1"/>
    </xf>
    <xf numFmtId="76" fontId="0" fillId="7" borderId="71" applyNumberFormat="1" applyFont="1" applyFill="1" applyBorder="1" applyAlignment="1" applyProtection="0">
      <alignment vertical="top" wrapText="1"/>
    </xf>
    <xf numFmtId="0" fontId="4" fillId="5" borderId="78" applyNumberFormat="0" applyFont="1" applyFill="1" applyBorder="1" applyAlignment="1" applyProtection="0">
      <alignment vertical="top" wrapText="1"/>
    </xf>
    <xf numFmtId="0" fontId="0" borderId="79" applyNumberFormat="0" applyFont="1" applyFill="0" applyBorder="1" applyAlignment="1" applyProtection="0">
      <alignment vertical="top" wrapText="1"/>
    </xf>
    <xf numFmtId="49" fontId="4" fillId="5" borderId="80" applyNumberFormat="1" applyFont="1" applyFill="1" applyBorder="1" applyAlignment="1" applyProtection="0">
      <alignment vertical="top" wrapText="1"/>
    </xf>
    <xf numFmtId="74" fontId="0" fillId="17" borderId="81" applyNumberFormat="1" applyFont="1" applyFill="1" applyBorder="1" applyAlignment="1" applyProtection="0">
      <alignment vertical="top" wrapText="1"/>
    </xf>
    <xf numFmtId="0" fontId="0" borderId="82" applyNumberFormat="0" applyFont="1" applyFill="0" applyBorder="1" applyAlignment="1" applyProtection="0">
      <alignment vertical="top" wrapText="1"/>
    </xf>
    <xf numFmtId="49" fontId="4" fillId="5" borderId="83" applyNumberFormat="1" applyFont="1" applyFill="1" applyBorder="1" applyAlignment="1" applyProtection="0">
      <alignment vertical="top" wrapText="1"/>
    </xf>
    <xf numFmtId="92" fontId="0" borderId="84" applyNumberFormat="1" applyFont="1" applyFill="0" applyBorder="1" applyAlignment="1" applyProtection="0">
      <alignment vertical="top" wrapText="1"/>
    </xf>
    <xf numFmtId="49" fontId="0" borderId="82" applyNumberFormat="1" applyFont="1" applyFill="0" applyBorder="1" applyAlignment="1" applyProtection="0">
      <alignment vertical="top" wrapText="1"/>
    </xf>
    <xf numFmtId="59" fontId="0" borderId="18" applyNumberFormat="1" applyFont="1" applyFill="0" applyBorder="1" applyAlignment="1" applyProtection="0">
      <alignment vertical="top" wrapText="1"/>
    </xf>
    <xf numFmtId="49" fontId="4" fillId="5" borderId="85" applyNumberFormat="1" applyFont="1" applyFill="1" applyBorder="1" applyAlignment="1" applyProtection="0">
      <alignment vertical="top" wrapText="1"/>
    </xf>
    <xf numFmtId="85" fontId="0" borderId="86" applyNumberFormat="1" applyFont="1" applyFill="0" applyBorder="1" applyAlignment="1" applyProtection="0">
      <alignment vertical="top" wrapText="1"/>
    </xf>
    <xf numFmtId="78" fontId="0" borderId="21" applyNumberFormat="1" applyFont="1" applyFill="0" applyBorder="1" applyAlignment="1" applyProtection="0">
      <alignment vertical="top" wrapText="1"/>
    </xf>
    <xf numFmtId="78" fontId="0" borderId="22" applyNumberFormat="1" applyFont="1" applyFill="0" applyBorder="1" applyAlignment="1" applyProtection="0">
      <alignment vertical="top" wrapText="1"/>
    </xf>
    <xf numFmtId="0" fontId="4" fillId="5" borderId="87" applyNumberFormat="0" applyFont="1" applyFill="1" applyBorder="1" applyAlignment="1" applyProtection="0">
      <alignment vertical="top" wrapText="1"/>
    </xf>
    <xf numFmtId="0" fontId="0" borderId="88" applyNumberFormat="0" applyFont="1" applyFill="0" applyBorder="1" applyAlignment="1" applyProtection="0">
      <alignment vertical="top" wrapText="1"/>
    </xf>
    <xf numFmtId="49" fontId="0" borderId="18" applyNumberFormat="1" applyFont="1" applyFill="0" applyBorder="1" applyAlignment="1" applyProtection="0">
      <alignment vertical="top" wrapText="1"/>
    </xf>
    <xf numFmtId="49" fontId="0" borderId="25" applyNumberFormat="1" applyFont="1" applyFill="0" applyBorder="1" applyAlignment="1" applyProtection="0">
      <alignment vertical="top" wrapText="1"/>
    </xf>
    <xf numFmtId="59" fontId="0" borderId="21" applyNumberFormat="1" applyFont="1" applyFill="0" applyBorder="1" applyAlignment="1" applyProtection="0">
      <alignment vertical="top" wrapText="1"/>
    </xf>
    <xf numFmtId="0" fontId="0" applyNumberFormat="1" applyFont="1" applyFill="0" applyBorder="0" applyAlignment="1" applyProtection="0">
      <alignment vertical="top" wrapText="1"/>
    </xf>
    <xf numFmtId="72" fontId="0" borderId="6" applyNumberFormat="1" applyFont="1" applyFill="0" applyBorder="1" applyAlignment="1" applyProtection="0">
      <alignment vertical="top" wrapText="1"/>
    </xf>
    <xf numFmtId="90"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bdc0bf"/>
      <rgbColor rgb="ffa5a5a5"/>
      <rgbColor rgb="ff3f3f3f"/>
      <rgbColor rgb="ffdbdbdb"/>
      <rgbColor rgb="fff8ba00"/>
      <rgbColor rgb="fffefb66"/>
      <rgbColor rgb="ff88f94e"/>
      <rgbColor rgb="ffcacaca"/>
      <rgbColor rgb="ffff9300"/>
      <rgbColor rgb="ffed220b"/>
      <rgbColor rgb="ff72fce9"/>
      <rgbColor rgb="ffff968c"/>
      <rgbColor rgb="fffae232"/>
      <rgbColor rgb="ffff8cc5"/>
      <rgbColor rgb="ff16e6cf"/>
      <rgbColor rgb="ff56c1fe"/>
      <rgbColor rgb="ffb8b8b8"/>
      <rgbColor rgb="ffffffff"/>
      <rgbColor rgb="fffefdc9"/>
      <rgbColor rgb="ff00a1fe"/>
      <rgbColor rgb="ff91919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782124"/>
          <c:y val="0.12368"/>
          <c:w val="0.899288"/>
          <c:h val="0.810337"/>
        </c:manualLayout>
      </c:layout>
      <c:lineChart>
        <c:grouping val="standard"/>
        <c:varyColors val="0"/>
        <c:ser>
          <c:idx val="0"/>
          <c:order val="0"/>
          <c:tx>
            <c:strRef>
              <c:f>'Sheet 2'!$D$2</c:f>
              <c:strCache>
                <c:ptCount val="1"/>
                <c:pt idx="0">
                  <c:v>Vx(t)</c:v>
                </c:pt>
              </c:strCache>
            </c:strRef>
          </c:tx>
          <c:spPr>
            <a:solidFill>
              <a:srgbClr val="FFFFFF"/>
            </a:solidFill>
            <a:ln w="50800" cap="flat">
              <a:solidFill>
                <a:schemeClr val="accent1"/>
              </a:solidFill>
              <a:prstDash val="solid"/>
              <a:miter lim="400000"/>
            </a:ln>
            <a:effectLst/>
          </c:spPr>
          <c:marker>
            <c:symbol val="circle"/>
            <c:size val="10"/>
            <c:spPr>
              <a:solidFill>
                <a:srgbClr val="FFFFFF"/>
              </a:solidFill>
              <a:ln w="50800" cap="flat">
                <a:solidFill>
                  <a:schemeClr val="accent1"/>
                </a:solidFill>
                <a:prstDash val="solid"/>
                <a:miter lim="400000"/>
              </a:ln>
              <a:effectLst/>
            </c:spPr>
          </c:marker>
          <c:dLbls>
            <c:numFmt formatCode="#,##0" sourceLinked="1"/>
            <c:txPr>
              <a:bodyPr/>
              <a:lstStyle/>
              <a:p>
                <a:pPr>
                  <a:defRPr b="0" i="0" strike="noStrike" sz="1200" u="none">
                    <a:solidFill>
                      <a:srgbClr val="000000"/>
                    </a:solidFill>
                    <a:latin typeface="Helvetica"/>
                  </a:defRPr>
                </a:pPr>
              </a:p>
            </c:txPr>
            <c:dLblPos val="t"/>
            <c:showLegendKey val="0"/>
            <c:showVal val="1"/>
            <c:showCatName val="0"/>
            <c:showSerName val="0"/>
            <c:showPercent val="0"/>
            <c:showBubbleSize val="0"/>
            <c:showLeaderLines val="0"/>
          </c:dLbls>
          <c:cat>
            <c:strRef>
              <c:f>'Sheet 2'!$A$3:$A$7</c:f>
              <c:strCache>
                <c:ptCount val="5"/>
                <c:pt idx="0">
                  <c:v>Vmax</c:v>
                </c:pt>
                <c:pt idx="1">
                  <c:v>Vmin</c:v>
                </c:pt>
                <c:pt idx="2">
                  <c:v>f</c:v>
                </c:pt>
                <c:pt idx="3">
                  <c:v/>
                </c:pt>
                <c:pt idx="4">
                  <c:v/>
                </c:pt>
              </c:strCache>
            </c:strRef>
          </c:cat>
          <c:val>
            <c:numRef>
              <c:f>'Sheet 2'!$D$3:$D$7</c:f>
              <c:numCache>
                <c:ptCount val="5"/>
                <c:pt idx="0">
                  <c:v>0.000000</c:v>
                </c:pt>
                <c:pt idx="1">
                  <c:v>0.250000</c:v>
                </c:pt>
                <c:pt idx="2">
                  <c:v>0.500000</c:v>
                </c:pt>
                <c:pt idx="3">
                  <c:v>0.750000</c:v>
                </c:pt>
                <c:pt idx="4">
                  <c:v>1.000000</c:v>
                </c:pt>
              </c:numCache>
            </c:numRef>
          </c:val>
          <c:smooth val="0"/>
        </c:ser>
        <c:marker val="1"/>
        <c:axId val="2094734552"/>
        <c:axId val="2094734553"/>
      </c:line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1270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midCat"/>
        <c:majorUnit val="0.25"/>
        <c:minorUnit val="0.125"/>
      </c:valAx>
      <c:spPr>
        <a:noFill/>
        <a:ln w="12700" cap="flat">
          <a:noFill/>
          <a:miter lim="400000"/>
        </a:ln>
        <a:effectLst/>
      </c:spPr>
    </c:plotArea>
    <c:legend>
      <c:legendPos val="t"/>
      <c:layout>
        <c:manualLayout>
          <c:xMode val="edge"/>
          <c:yMode val="edge"/>
          <c:x val="0.0540813"/>
          <c:y val="0"/>
          <c:w val="0.9"/>
          <c:h val="0.0640667"/>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200" u="none">
                <a:solidFill>
                  <a:srgbClr val="000000"/>
                </a:solidFill>
                <a:latin typeface="Helvetica Neue"/>
              </a:defRPr>
            </a:pPr>
            <a:r>
              <a:rPr b="0" i="0" strike="noStrike" sz="1200" u="none">
                <a:solidFill>
                  <a:srgbClr val="000000"/>
                </a:solidFill>
                <a:latin typeface="Helvetica Neue"/>
              </a:rPr>
              <a:t>∆C vs Concentration of Ions in Solution</a:t>
            </a:r>
          </a:p>
        </c:rich>
      </c:tx>
      <c:layout>
        <c:manualLayout>
          <c:xMode val="edge"/>
          <c:yMode val="edge"/>
          <c:x val="0.255081"/>
          <c:y val="0.0366158"/>
          <c:w val="0.489838"/>
          <c:h val="0.0793052"/>
        </c:manualLayout>
      </c:layout>
      <c:overlay val="1"/>
      <c:spPr>
        <a:noFill/>
        <a:effectLst/>
      </c:spPr>
    </c:title>
    <c:autoTitleDeleted val="1"/>
    <c:plotArea>
      <c:layout>
        <c:manualLayout>
          <c:layoutTarget val="inner"/>
          <c:xMode val="edge"/>
          <c:yMode val="edge"/>
          <c:x val="0.1637"/>
          <c:y val="0.115921"/>
          <c:w val="0.801707"/>
          <c:h val="0.758717"/>
        </c:manualLayout>
      </c:layout>
      <c:lineChart>
        <c:grouping val="standard"/>
        <c:varyColors val="0"/>
        <c:ser>
          <c:idx val="0"/>
          <c:order val="0"/>
          <c:tx>
            <c:v>∆C</c:v>
          </c:tx>
          <c:spPr>
            <a:solidFill>
              <a:srgbClr val="FFFFFF"/>
            </a:solidFill>
            <a:ln w="50800" cap="flat">
              <a:solidFill>
                <a:schemeClr val="accent1"/>
              </a:solidFill>
              <a:prstDash val="solid"/>
              <a:miter lim="400000"/>
            </a:ln>
            <a:effectLst/>
          </c:spPr>
          <c:marker>
            <c:symbol val="none"/>
            <c:size val="4"/>
            <c:spPr>
              <a:solidFill>
                <a:srgbClr val="FFFFFF"/>
              </a:solidFill>
              <a:ln w="50800" cap="flat">
                <a:solidFill>
                  <a:schemeClr val="accent1"/>
                </a:solidFill>
                <a:prstDash val="solid"/>
                <a:miter lim="400000"/>
              </a:ln>
              <a:effectLst/>
            </c:spPr>
          </c:marker>
          <c:dLbls>
            <c:numFmt formatCode="#,##0" sourceLinked="1"/>
            <c:txPr>
              <a:bodyPr/>
              <a:lstStyle/>
              <a:p>
                <a:pPr>
                  <a:defRPr b="0" i="0" strike="noStrike" sz="1200" u="none">
                    <a:solidFill>
                      <a:srgbClr val="FFFFFF"/>
                    </a:solidFill>
                    <a:effectLst>
                      <a:outerShdw sx="100000" sy="100000" kx="0" ky="0" algn="tl" rotWithShape="1" blurRad="127000" dist="20658" dir="5193911">
                        <a:srgbClr val="000000">
                          <a:alpha val="41877"/>
                        </a:srgbClr>
                      </a:outerShdw>
                    </a:effectLst>
                    <a:latin typeface="Helvetica"/>
                  </a:defRPr>
                </a:pPr>
              </a:p>
            </c:txPr>
            <c:dLblPos val="t"/>
            <c:showLegendKey val="0"/>
            <c:showVal val="0"/>
            <c:showCatName val="0"/>
            <c:showSerName val="0"/>
            <c:showPercent val="0"/>
            <c:showBubbleSize val="0"/>
            <c:showLeaderLines val="0"/>
          </c:dLbls>
          <c:cat>
            <c:strRef>
              <c:f>'Detection Curve'!$C$4:$C$11</c:f>
              <c:strCache>
                <c:ptCount val="8"/>
                <c:pt idx="0">
                  <c:v>1E-15</c:v>
                </c:pt>
                <c:pt idx="1">
                  <c:v>1E-12</c:v>
                </c:pt>
                <c:pt idx="2">
                  <c:v>1E-09</c:v>
                </c:pt>
                <c:pt idx="3">
                  <c:v>1E-06</c:v>
                </c:pt>
                <c:pt idx="4">
                  <c:v>1E-03</c:v>
                </c:pt>
                <c:pt idx="5">
                  <c:v>1E-01</c:v>
                </c:pt>
                <c:pt idx="6">
                  <c:v>1E+00</c:v>
                </c:pt>
                <c:pt idx="7">
                  <c:v>1E+01</c:v>
                </c:pt>
              </c:strCache>
            </c:strRef>
          </c:cat>
          <c:val>
            <c:numRef>
              <c:f>'Detection Curve'!$D$4:$D$11</c:f>
              <c:numCache>
                <c:ptCount val="8"/>
                <c:pt idx="0">
                  <c:v>0.000000</c:v>
                </c:pt>
                <c:pt idx="1">
                  <c:v>0.000000</c:v>
                </c:pt>
                <c:pt idx="2">
                  <c:v>0.000000</c:v>
                </c:pt>
                <c:pt idx="3">
                  <c:v>0.000000</c:v>
                </c:pt>
                <c:pt idx="4">
                  <c:v>0.000000</c:v>
                </c:pt>
                <c:pt idx="5">
                  <c:v>0.000000</c:v>
                </c:pt>
                <c:pt idx="6">
                  <c:v>0.000000</c:v>
                </c:pt>
                <c:pt idx="7">
                  <c:v>0.000000</c:v>
                </c:pt>
              </c:numCache>
            </c:numRef>
          </c:val>
          <c:smooth val="0"/>
        </c:ser>
        <c:marker val="1"/>
        <c:axId val="2094734552"/>
        <c:axId val="2094734553"/>
      </c:lineChart>
      <c:catAx>
        <c:axId val="2094734552"/>
        <c:scaling>
          <c:orientation val="minMax"/>
        </c:scaling>
        <c:delete val="0"/>
        <c:axPos val="b"/>
        <c:majorGridlines>
          <c:spPr>
            <a:ln w="12700" cap="flat">
              <a:solidFill>
                <a:srgbClr val="929292"/>
              </a:solidFill>
              <a:custDash>
                <a:ds d="100000" sp="200000"/>
              </a:custDash>
              <a:miter lim="400000"/>
            </a:ln>
          </c:spPr>
        </c:majorGridlines>
        <c:title>
          <c:tx>
            <c:rich>
              <a:bodyPr rot="0"/>
              <a:lstStyle/>
              <a:p>
                <a:pPr>
                  <a:defRPr b="0" i="0" strike="noStrike" sz="1000" u="none">
                    <a:solidFill>
                      <a:srgbClr val="000000"/>
                    </a:solidFill>
                    <a:latin typeface="Helvetica Neue"/>
                  </a:defRPr>
                </a:pPr>
                <a:r>
                  <a:rPr b="0" i="0" strike="noStrike" sz="1000" u="none">
                    <a:solidFill>
                      <a:srgbClr val="000000"/>
                    </a:solidFill>
                    <a:latin typeface="Helvetica Neue"/>
                  </a:rPr>
                  <a:t>Concentration of Ions/ M</a:t>
                </a:r>
              </a:p>
            </c:rich>
          </c:tx>
          <c:layout/>
          <c:overlay val="1"/>
        </c:title>
        <c:numFmt formatCode="General" sourceLinked="1"/>
        <c:majorTickMark val="cross"/>
        <c:minorTickMark val="in"/>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12700" cap="flat">
              <a:solidFill>
                <a:srgbClr val="B8B8B8"/>
              </a:solidFill>
              <a:prstDash val="solid"/>
              <a:miter lim="400000"/>
            </a:ln>
          </c:spPr>
        </c:majorGridlines>
        <c:title>
          <c:tx>
            <c:rich>
              <a:bodyPr rot="-5400000"/>
              <a:lstStyle/>
              <a:p>
                <a:pPr>
                  <a:defRPr b="0" i="0" strike="noStrike" sz="1000" u="none">
                    <a:solidFill>
                      <a:srgbClr val="000000"/>
                    </a:solidFill>
                    <a:latin typeface="Helvetica Neue"/>
                  </a:defRPr>
                </a:pPr>
                <a:r>
                  <a:rPr b="0" i="0" strike="noStrike" sz="1000" u="none">
                    <a:solidFill>
                      <a:srgbClr val="000000"/>
                    </a:solidFill>
                    <a:latin typeface="Helvetica Neue"/>
                  </a:rPr>
                  <a:t>∆C/F</a:t>
                </a:r>
              </a:p>
            </c:rich>
          </c:tx>
          <c:layout/>
          <c:overlay val="1"/>
        </c:title>
        <c:numFmt formatCode="General" sourceLinked="1"/>
        <c:majorTickMark val="none"/>
        <c:minorTickMark val="none"/>
        <c:tickLblPos val="nextTo"/>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4.5e-09"/>
        <c:minorUnit val="2.25e-09"/>
      </c:valAx>
      <c:spPr>
        <a:noFill/>
        <a:ln w="12700" cap="flat">
          <a:solidFill>
            <a:srgbClr val="000000"/>
          </a:solidFill>
          <a:prstDash val="solid"/>
          <a:miter lim="400000"/>
        </a:ln>
        <a:effectLst/>
      </c:spPr>
    </c:plotArea>
    <c:legend>
      <c:legendPos val="t"/>
      <c:layout>
        <c:manualLayout>
          <c:xMode val="edge"/>
          <c:yMode val="edge"/>
          <c:x val="0.124421"/>
          <c:y val="0"/>
          <c:w val="0.836091"/>
          <c:h val="0.0616159"/>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s>

</file>

<file path=xl/drawings/_rels/drawing5.xml.rels><?xml version="1.0" encoding="UTF-8"?>
<Relationships xmlns="http://schemas.openxmlformats.org/package/2006/relationships"><Relationship Id="rId1" Type="http://schemas.openxmlformats.org/officeDocument/2006/relationships/chart" Target="../charts/chart2.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531902</xdr:colOff>
      <xdr:row>22</xdr:row>
      <xdr:rowOff>247281</xdr:rowOff>
    </xdr:from>
    <xdr:to>
      <xdr:col>7</xdr:col>
      <xdr:colOff>1164817</xdr:colOff>
      <xdr:row>24</xdr:row>
      <xdr:rowOff>951</xdr:rowOff>
    </xdr:to>
    <xdr:sp>
      <xdr:nvSpPr>
        <xdr:cNvPr id="2" name="Shape 2"/>
        <xdr:cNvSpPr txBox="1"/>
      </xdr:nvSpPr>
      <xdr:spPr>
        <a:xfrm>
          <a:off x="1776502" y="6438531"/>
          <a:ext cx="7998916" cy="273101"/>
        </a:xfrm>
        <a:prstGeom prst="rect">
          <a:avLst/>
        </a:prstGeom>
        <a:noFill/>
        <a:ln w="12700" cap="flat">
          <a:noFill/>
          <a:miter lim="400000"/>
        </a:ln>
        <a:effectLst/>
      </xdr:spPr>
      <xdr:txBody>
        <a:bodyPr wrap="none" lIns="0" tIns="0" rIns="0" bIns="0">
          <a:spAutoFit/>
        </a:bodyPr>
        <a:lstStyle/>
        <a:p>
          <a:pPr/>
          <a14:m>
            <m:oMathPara>
              <m:oMathParaPr>
                <m:jc m:val="centerGroup"/>
              </m:oMathParaPr>
              <m:oMath>
                <m:r>
                  <a:rPr xmlns:a="http://schemas.openxmlformats.org/drawingml/2006/main" sz="2400" i="1">
                    <a:solidFill>
                      <a:srgbClr val="000000"/>
                    </a:solidFill>
                    <a:latin typeface="Cambria Math" panose="02040503050406030204" pitchFamily="18" charset="0"/>
                  </a:rPr>
                  <m:t>V</m:t>
                </m:r>
                <m:r>
                  <a:rPr xmlns:a="http://schemas.openxmlformats.org/drawingml/2006/main" sz="2400" i="1">
                    <a:solidFill>
                      <a:srgbClr val="000000"/>
                    </a:solidFill>
                    <a:latin typeface="Cambria Math" panose="02040503050406030204" pitchFamily="18" charset="0"/>
                  </a:rPr>
                  <m:t>o</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R</m:t>
                </m:r>
                <m:r>
                  <a:rPr xmlns:a="http://schemas.openxmlformats.org/drawingml/2006/main" sz="2400" i="1">
                    <a:solidFill>
                      <a:srgbClr val="000000"/>
                    </a:solidFill>
                    <a:latin typeface="Cambria Math" panose="02040503050406030204" pitchFamily="18" charset="0"/>
                  </a:rPr>
                  <m:t>f</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2</m:t>
                </m:r>
                <m:r>
                  <a:rPr xmlns:a="http://schemas.openxmlformats.org/drawingml/2006/main" sz="2400" i="1">
                    <a:solidFill>
                      <a:srgbClr val="000000"/>
                    </a:solidFill>
                    <a:latin typeface="Cambria Math" panose="02040503050406030204" pitchFamily="18" charset="0"/>
                  </a:rPr>
                  <m:t>f</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V</m:t>
                </m:r>
                <m:r>
                  <a:rPr xmlns:a="http://schemas.openxmlformats.org/drawingml/2006/main" sz="2400" i="1">
                    <a:solidFill>
                      <a:srgbClr val="000000"/>
                    </a:solidFill>
                    <a:latin typeface="Cambria Math" panose="02040503050406030204" pitchFamily="18" charset="0"/>
                  </a:rPr>
                  <m:t>m</m:t>
                </m:r>
                <m:r>
                  <a:rPr xmlns:a="http://schemas.openxmlformats.org/drawingml/2006/main" sz="2400" i="1">
                    <a:solidFill>
                      <a:srgbClr val="000000"/>
                    </a:solidFill>
                    <a:latin typeface="Cambria Math" panose="02040503050406030204" pitchFamily="18" charset="0"/>
                  </a:rPr>
                  <m:t>a</m:t>
                </m:r>
                <m:r>
                  <a:rPr xmlns:a="http://schemas.openxmlformats.org/drawingml/2006/main" sz="2400" i="1">
                    <a:solidFill>
                      <a:srgbClr val="000000"/>
                    </a:solidFill>
                    <a:latin typeface="Cambria Math" panose="02040503050406030204" pitchFamily="18" charset="0"/>
                  </a:rPr>
                  <m:t>x</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V</m:t>
                </m:r>
                <m:r>
                  <a:rPr xmlns:a="http://schemas.openxmlformats.org/drawingml/2006/main" sz="2400" i="1">
                    <a:solidFill>
                      <a:srgbClr val="000000"/>
                    </a:solidFill>
                    <a:latin typeface="Cambria Math" panose="02040503050406030204" pitchFamily="18" charset="0"/>
                  </a:rPr>
                  <m:t>m</m:t>
                </m:r>
                <m:r>
                  <a:rPr xmlns:a="http://schemas.openxmlformats.org/drawingml/2006/main" sz="2400" i="1">
                    <a:solidFill>
                      <a:srgbClr val="000000"/>
                    </a:solidFill>
                    <a:latin typeface="Cambria Math" panose="02040503050406030204" pitchFamily="18" charset="0"/>
                  </a:rPr>
                  <m:t>i</m:t>
                </m:r>
                <m:r>
                  <a:rPr xmlns:a="http://schemas.openxmlformats.org/drawingml/2006/main" sz="2400" i="1">
                    <a:solidFill>
                      <a:srgbClr val="000000"/>
                    </a:solidFill>
                    <a:latin typeface="Cambria Math" panose="02040503050406030204" pitchFamily="18" charset="0"/>
                  </a:rPr>
                  <m:t>n</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C</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t</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R</m:t>
                </m:r>
                <m:r>
                  <a:rPr xmlns:a="http://schemas.openxmlformats.org/drawingml/2006/main" sz="2400" i="1">
                    <a:solidFill>
                      <a:srgbClr val="000000"/>
                    </a:solidFill>
                    <a:latin typeface="Cambria Math" panose="02040503050406030204" pitchFamily="18" charset="0"/>
                  </a:rPr>
                  <m:t>f</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m:t>
                </m:r>
                <m:sSup>
                  <m:e>
                    <m:r>
                      <a:rPr xmlns:a="http://schemas.openxmlformats.org/drawingml/2006/main" sz="2400" i="1">
                        <a:solidFill>
                          <a:srgbClr val="000000"/>
                        </a:solidFill>
                        <a:latin typeface="Cambria Math" panose="02040503050406030204" pitchFamily="18" charset="0"/>
                      </a:rPr>
                      <m:t>e</m:t>
                    </m:r>
                  </m:e>
                  <m:sup>
                    <m:r>
                      <a:rPr xmlns:a="http://schemas.openxmlformats.org/drawingml/2006/main" sz="2400" i="1">
                        <a:solidFill>
                          <a:srgbClr val="000000"/>
                        </a:solidFill>
                        <a:latin typeface="Cambria Math" panose="02040503050406030204" pitchFamily="18" charset="0"/>
                      </a:rPr>
                      <m:t>-</m:t>
                    </m:r>
                  </m:sup>
                </m:sSup>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t</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R</m:t>
                </m:r>
                <m:r>
                  <a:rPr xmlns:a="http://schemas.openxmlformats.org/drawingml/2006/main" sz="2400" i="1">
                    <a:solidFill>
                      <a:srgbClr val="000000"/>
                    </a:solidFill>
                    <a:latin typeface="Cambria Math" panose="02040503050406030204" pitchFamily="18" charset="0"/>
                  </a:rPr>
                  <m:t>C</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m:t>
                </m:r>
                <m:r>
                  <a:rPr xmlns:a="http://schemas.openxmlformats.org/drawingml/2006/main" sz="2400" i="1">
                    <a:solidFill>
                      <a:srgbClr val="000000"/>
                    </a:solidFill>
                    <a:latin typeface="Cambria Math" panose="02040503050406030204" pitchFamily="18" charset="0"/>
                  </a:rPr>
                  <m:t>1.65</m:t>
                </m:r>
              </m:oMath>
            </m:oMathPara>
          </a14:m>
          <a:endParaRPr sz="2400">
            <a:solidFill>
              <a:srgbClr val="000000"/>
            </a:solidFill>
          </a:endParaRPr>
        </a:p>
      </xdr:txBody>
    </xdr: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4</xdr:col>
      <xdr:colOff>622300</xdr:colOff>
      <xdr:row>2</xdr:row>
      <xdr:rowOff>82879</xdr:rowOff>
    </xdr:from>
    <xdr:to>
      <xdr:col>8</xdr:col>
      <xdr:colOff>723900</xdr:colOff>
      <xdr:row>17</xdr:row>
      <xdr:rowOff>70814</xdr:rowOff>
    </xdr:to>
    <xdr:graphicFrame>
      <xdr:nvGraphicFramePr>
        <xdr:cNvPr id="4" name="Chart 4"/>
        <xdr:cNvGraphicFramePr/>
      </xdr:nvGraphicFramePr>
      <xdr:xfrm>
        <a:off x="5600700" y="691209"/>
        <a:ext cx="5080000" cy="3810001"/>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7</xdr:col>
      <xdr:colOff>521503</xdr:colOff>
      <xdr:row>2</xdr:row>
      <xdr:rowOff>58404</xdr:rowOff>
    </xdr:from>
    <xdr:to>
      <xdr:col>12</xdr:col>
      <xdr:colOff>226449</xdr:colOff>
      <xdr:row>3</xdr:row>
      <xdr:rowOff>263306</xdr:rowOff>
    </xdr:to>
    <xdr:sp>
      <xdr:nvSpPr>
        <xdr:cNvPr id="6" name="Shape 6"/>
        <xdr:cNvSpPr txBox="1"/>
      </xdr:nvSpPr>
      <xdr:spPr>
        <a:xfrm>
          <a:off x="10097303" y="720709"/>
          <a:ext cx="5927947" cy="516053"/>
        </a:xfrm>
        <a:prstGeom prst="rect">
          <a:avLst/>
        </a:prstGeom>
        <a:noFill/>
        <a:ln w="12700" cap="flat">
          <a:noFill/>
          <a:miter lim="400000"/>
        </a:ln>
        <a:effectLst/>
      </xdr:spPr>
      <xdr:txBody>
        <a:bodyPr wrap="none" lIns="0" tIns="0" rIns="0" bIns="0">
          <a:spAutoFit/>
        </a:bodyPr>
        <a:lstStyle/>
        <a:p>
          <a:pPr/>
          <a14:m>
            <m:oMathPara>
              <m:oMathParaPr>
                <m:jc m:val="centerGroup"/>
              </m:oMathParaPr>
              <m:oMath>
                <m:sSub>
                  <m:e>
                    <m:r>
                      <a:rPr xmlns:a="http://schemas.openxmlformats.org/drawingml/2006/main" sz="2200" i="1">
                        <a:solidFill>
                          <a:srgbClr val="000000"/>
                        </a:solidFill>
                        <a:latin typeface="Cambria Math" panose="02040503050406030204" pitchFamily="18" charset="0"/>
                      </a:rPr>
                      <m:t>C</m:t>
                    </m:r>
                  </m:e>
                  <m:sub>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D</m:t>
                    </m:r>
                    <m:r>
                      <a:rPr xmlns:a="http://schemas.openxmlformats.org/drawingml/2006/main" sz="2200" i="1">
                        <a:solidFill>
                          <a:srgbClr val="000000"/>
                        </a:solidFill>
                        <a:latin typeface="Cambria Math" panose="02040503050406030204" pitchFamily="18" charset="0"/>
                      </a:rPr>
                      <m:t>L</m:t>
                    </m:r>
                  </m:sub>
                </m:sSub>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A</m:t>
                </m:r>
                <m:r>
                  <a:rPr xmlns:a="http://schemas.openxmlformats.org/drawingml/2006/main" sz="2200" i="1">
                    <a:solidFill>
                      <a:srgbClr val="000000"/>
                    </a:solidFill>
                    <a:latin typeface="Cambria Math" panose="02040503050406030204" pitchFamily="18" charset="0"/>
                  </a:rPr>
                  <m:t>*</m:t>
                </m:r>
                <m:rad>
                  <m:radPr>
                    <m:ctrlPr>
                      <a:rPr xmlns:a="http://schemas.openxmlformats.org/drawingml/2006/main" sz="2200" i="1">
                        <a:solidFill>
                          <a:srgbClr val="000000"/>
                        </a:solidFill>
                        <a:latin typeface="Cambria Math" panose="02040503050406030204" pitchFamily="18" charset="0"/>
                      </a:rPr>
                    </m:ctrlPr>
                    <m:degHide m:val="on"/>
                  </m:radPr>
                  <m:deg/>
                  <m:e>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2</m:t>
                    </m:r>
                    <m:sSup>
                      <m:e>
                        <m:r>
                          <a:rPr xmlns:a="http://schemas.openxmlformats.org/drawingml/2006/main" sz="2200" i="1">
                            <a:solidFill>
                              <a:srgbClr val="000000"/>
                            </a:solidFill>
                            <a:latin typeface="Cambria Math" panose="02040503050406030204" pitchFamily="18" charset="0"/>
                          </a:rPr>
                          <m:t>z</m:t>
                        </m:r>
                      </m:e>
                      <m:sup>
                        <m:r>
                          <a:rPr xmlns:a="http://schemas.openxmlformats.org/drawingml/2006/main" sz="2200" i="1">
                            <a:solidFill>
                              <a:srgbClr val="000000"/>
                            </a:solidFill>
                            <a:latin typeface="Cambria Math" panose="02040503050406030204" pitchFamily="18" charset="0"/>
                          </a:rPr>
                          <m:t>2</m:t>
                        </m:r>
                      </m:sup>
                    </m:sSup>
                    <m:sSup>
                      <m:e>
                        <m:r>
                          <a:rPr xmlns:a="http://schemas.openxmlformats.org/drawingml/2006/main" sz="2200" i="1">
                            <a:solidFill>
                              <a:srgbClr val="000000"/>
                            </a:solidFill>
                            <a:latin typeface="Cambria Math" panose="02040503050406030204" pitchFamily="18" charset="0"/>
                          </a:rPr>
                          <m:t>e</m:t>
                        </m:r>
                      </m:e>
                      <m:sup>
                        <m:r>
                          <a:rPr xmlns:a="http://schemas.openxmlformats.org/drawingml/2006/main" sz="2200" i="1">
                            <a:solidFill>
                              <a:srgbClr val="000000"/>
                            </a:solidFill>
                            <a:latin typeface="Cambria Math" panose="02040503050406030204" pitchFamily="18" charset="0"/>
                          </a:rPr>
                          <m:t>2</m:t>
                        </m:r>
                      </m:sup>
                    </m:sSup>
                    <m:sSub>
                      <m:e>
                        <m:r>
                          <a:rPr xmlns:a="http://schemas.openxmlformats.org/drawingml/2006/main" sz="2200" i="1">
                            <a:solidFill>
                              <a:srgbClr val="000000"/>
                            </a:solidFill>
                            <a:latin typeface="Cambria Math" panose="02040503050406030204" pitchFamily="18" charset="0"/>
                          </a:rPr>
                          <m:t>C</m:t>
                        </m:r>
                      </m:e>
                      <m:sub>
                        <m:r>
                          <a:rPr xmlns:a="http://schemas.openxmlformats.org/drawingml/2006/main" sz="2200" i="1">
                            <a:solidFill>
                              <a:srgbClr val="000000"/>
                            </a:solidFill>
                            <a:latin typeface="Cambria Math" panose="02040503050406030204" pitchFamily="18" charset="0"/>
                          </a:rPr>
                          <m:t>o</m:t>
                        </m:r>
                      </m:sub>
                    </m:sSub>
                    <m:sSub>
                      <m:e>
                        <m:r>
                          <a:rPr xmlns:a="http://schemas.openxmlformats.org/drawingml/2006/main" sz="2200" i="1">
                            <a:solidFill>
                              <a:srgbClr val="000000"/>
                            </a:solidFill>
                            <a:latin typeface="Cambria Math" panose="02040503050406030204" pitchFamily="18" charset="0"/>
                          </a:rPr>
                          <m:t>e</m:t>
                        </m:r>
                      </m:e>
                      <m:sub>
                        <m:r>
                          <a:rPr xmlns:a="http://schemas.openxmlformats.org/drawingml/2006/main" sz="2200" i="1">
                            <a:solidFill>
                              <a:srgbClr val="000000"/>
                            </a:solidFill>
                            <a:latin typeface="Cambria Math" panose="02040503050406030204" pitchFamily="18" charset="0"/>
                          </a:rPr>
                          <m:t>r</m:t>
                        </m:r>
                      </m:sub>
                    </m:sSub>
                    <m:sSub>
                      <m:e>
                        <m:r>
                          <a:rPr xmlns:a="http://schemas.openxmlformats.org/drawingml/2006/main" sz="2200" i="1">
                            <a:solidFill>
                              <a:srgbClr val="000000"/>
                            </a:solidFill>
                            <a:latin typeface="Cambria Math" panose="02040503050406030204" pitchFamily="18" charset="0"/>
                          </a:rPr>
                          <m:t>e</m:t>
                        </m:r>
                      </m:e>
                      <m:sub>
                        <m:r>
                          <a:rPr xmlns:a="http://schemas.openxmlformats.org/drawingml/2006/main" sz="2200" i="1">
                            <a:solidFill>
                              <a:srgbClr val="000000"/>
                            </a:solidFill>
                            <a:latin typeface="Cambria Math" panose="02040503050406030204" pitchFamily="18" charset="0"/>
                          </a:rPr>
                          <m:t>o</m:t>
                        </m:r>
                      </m:sub>
                    </m:sSub>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k</m:t>
                    </m:r>
                    <m:r>
                      <a:rPr xmlns:a="http://schemas.openxmlformats.org/drawingml/2006/main" sz="2200" i="1">
                        <a:solidFill>
                          <a:srgbClr val="000000"/>
                        </a:solidFill>
                        <a:latin typeface="Cambria Math" panose="02040503050406030204" pitchFamily="18" charset="0"/>
                      </a:rPr>
                      <m:t>T</m:t>
                    </m:r>
                    <m:r>
                      <a:rPr xmlns:a="http://schemas.openxmlformats.org/drawingml/2006/main" sz="2200" i="1">
                        <a:solidFill>
                          <a:srgbClr val="000000"/>
                        </a:solidFill>
                        <a:latin typeface="Cambria Math" panose="02040503050406030204" pitchFamily="18" charset="0"/>
                      </a:rPr>
                      <m:t>)</m:t>
                    </m:r>
                  </m:e>
                </m:rad>
                <m:r>
                  <a:rPr xmlns:a="http://schemas.openxmlformats.org/drawingml/2006/main" sz="2200" i="1">
                    <a:solidFill>
                      <a:srgbClr val="000000"/>
                    </a:solidFill>
                    <a:latin typeface="Cambria Math" panose="02040503050406030204" pitchFamily="18" charset="0"/>
                  </a:rPr>
                  <m:t>c</m:t>
                </m:r>
                <m:r>
                  <a:rPr xmlns:a="http://schemas.openxmlformats.org/drawingml/2006/main" sz="2200" i="1">
                    <a:solidFill>
                      <a:srgbClr val="000000"/>
                    </a:solidFill>
                    <a:latin typeface="Cambria Math" panose="02040503050406030204" pitchFamily="18" charset="0"/>
                  </a:rPr>
                  <m:t>o</m:t>
                </m:r>
                <m:r>
                  <a:rPr xmlns:a="http://schemas.openxmlformats.org/drawingml/2006/main" sz="2200" i="1">
                    <a:solidFill>
                      <a:srgbClr val="000000"/>
                    </a:solidFill>
                    <a:latin typeface="Cambria Math" panose="02040503050406030204" pitchFamily="18" charset="0"/>
                  </a:rPr>
                  <m:t>s</m:t>
                </m:r>
                <m:r>
                  <a:rPr xmlns:a="http://schemas.openxmlformats.org/drawingml/2006/main" sz="2200" i="1">
                    <a:solidFill>
                      <a:srgbClr val="000000"/>
                    </a:solidFill>
                    <a:latin typeface="Cambria Math" panose="02040503050406030204" pitchFamily="18" charset="0"/>
                  </a:rPr>
                  <m:t>h</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z</m:t>
                </m:r>
                <m:r>
                  <a:rPr xmlns:a="http://schemas.openxmlformats.org/drawingml/2006/main" sz="2200" i="1">
                    <a:solidFill>
                      <a:srgbClr val="000000"/>
                    </a:solidFill>
                    <a:latin typeface="Cambria Math" panose="02040503050406030204" pitchFamily="18" charset="0"/>
                  </a:rPr>
                  <m:t>e</m:t>
                </m:r>
                <m:sSub>
                  <m:e>
                    <m:r>
                      <a:rPr xmlns:a="http://schemas.openxmlformats.org/drawingml/2006/main" sz="2200" i="1">
                        <a:solidFill>
                          <a:srgbClr val="000000"/>
                        </a:solidFill>
                        <a:latin typeface="Cambria Math" panose="02040503050406030204" pitchFamily="18" charset="0"/>
                      </a:rPr>
                      <m:t>V</m:t>
                    </m:r>
                  </m:e>
                  <m:sub>
                    <m:r>
                      <a:rPr xmlns:a="http://schemas.openxmlformats.org/drawingml/2006/main" sz="2200" i="1">
                        <a:solidFill>
                          <a:srgbClr val="000000"/>
                        </a:solidFill>
                        <a:latin typeface="Cambria Math" panose="02040503050406030204" pitchFamily="18" charset="0"/>
                      </a:rPr>
                      <m:t>z</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t</m:t>
                    </m:r>
                    <m:r>
                      <a:rPr xmlns:a="http://schemas.openxmlformats.org/drawingml/2006/main" sz="2200" i="1">
                        <a:solidFill>
                          <a:srgbClr val="000000"/>
                        </a:solidFill>
                        <a:latin typeface="Cambria Math" panose="02040503050406030204" pitchFamily="18" charset="0"/>
                      </a:rPr>
                      <m:t>a</m:t>
                    </m:r>
                  </m:sub>
                </m:sSub>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2</m:t>
                </m:r>
                <m:r>
                  <a:rPr xmlns:a="http://schemas.openxmlformats.org/drawingml/2006/main" sz="2200" i="1">
                    <a:solidFill>
                      <a:srgbClr val="000000"/>
                    </a:solidFill>
                    <a:latin typeface="Cambria Math" panose="02040503050406030204" pitchFamily="18" charset="0"/>
                  </a:rPr>
                  <m:t>k</m:t>
                </m:r>
                <m:r>
                  <a:rPr xmlns:a="http://schemas.openxmlformats.org/drawingml/2006/main" sz="2200" i="1">
                    <a:solidFill>
                      <a:srgbClr val="000000"/>
                    </a:solidFill>
                    <a:latin typeface="Cambria Math" panose="02040503050406030204" pitchFamily="18" charset="0"/>
                  </a:rPr>
                  <m:t>T</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m:t>
                </m:r>
              </m:oMath>
            </m:oMathPara>
          </a14:m>
          <a:endParaRPr sz="2200">
            <a:solidFill>
              <a:srgbClr val="000000"/>
            </a:solidFill>
          </a:endParaRPr>
        </a:p>
      </xdr:txBody>
    </xdr:sp>
    <xdr:clientData/>
  </xdr:twoCellAnchor>
  <xdr:twoCellAnchor>
    <xdr:from>
      <xdr:col>7</xdr:col>
      <xdr:colOff>198479</xdr:colOff>
      <xdr:row>6</xdr:row>
      <xdr:rowOff>163664</xdr:rowOff>
    </xdr:from>
    <xdr:to>
      <xdr:col>13</xdr:col>
      <xdr:colOff>11938</xdr:colOff>
      <xdr:row>7</xdr:row>
      <xdr:rowOff>157631</xdr:rowOff>
    </xdr:to>
    <xdr:sp>
      <xdr:nvSpPr>
        <xdr:cNvPr id="7" name="Shape 7"/>
        <xdr:cNvSpPr txBox="1"/>
      </xdr:nvSpPr>
      <xdr:spPr>
        <a:xfrm>
          <a:off x="9774279" y="2061044"/>
          <a:ext cx="7281060" cy="301943"/>
        </a:xfrm>
        <a:prstGeom prst="rect">
          <a:avLst/>
        </a:prstGeom>
        <a:noFill/>
        <a:ln w="12700" cap="flat">
          <a:solidFill>
            <a:srgbClr val="000000"/>
          </a:solidFill>
          <a:prstDash val="solid"/>
          <a:miter lim="400000"/>
        </a:ln>
        <a:effectLst/>
      </xdr:spPr>
      <xdr:txBody>
        <a:bodyPr wrap="none" lIns="0" tIns="0" rIns="0" bIns="0">
          <a:spAutoFit/>
        </a:bodyPr>
        <a:lstStyle/>
        <a:p>
          <a:pPr/>
          <a14:m>
            <m:oMathPara>
              <m:oMathParaPr>
                <m:jc m:val="centerGroup"/>
              </m:oMathParaPr>
              <m:oMath>
                <m:sSub>
                  <m:e>
                    <m:r>
                      <a:rPr xmlns:a="http://schemas.openxmlformats.org/drawingml/2006/main" sz="2200" i="1">
                        <a:solidFill>
                          <a:srgbClr val="000000"/>
                        </a:solidFill>
                        <a:latin typeface="Cambria Math" panose="02040503050406030204" pitchFamily="18" charset="0"/>
                      </a:rPr>
                      <m:t>C</m:t>
                    </m:r>
                  </m:e>
                  <m:sub>
                    <m:r>
                      <a:rPr xmlns:a="http://schemas.openxmlformats.org/drawingml/2006/main" sz="2200" i="1">
                        <a:solidFill>
                          <a:srgbClr val="000000"/>
                        </a:solidFill>
                        <a:latin typeface="Cambria Math" panose="02040503050406030204" pitchFamily="18" charset="0"/>
                      </a:rPr>
                      <m:t>C</m:t>
                    </m:r>
                    <m:r>
                      <a:rPr xmlns:a="http://schemas.openxmlformats.org/drawingml/2006/main" sz="2200" i="1">
                        <a:solidFill>
                          <a:srgbClr val="000000"/>
                        </a:solidFill>
                        <a:latin typeface="Cambria Math" panose="02040503050406030204" pitchFamily="18" charset="0"/>
                      </a:rPr>
                      <m:t>a</m:t>
                    </m:r>
                    <m:r>
                      <a:rPr xmlns:a="http://schemas.openxmlformats.org/drawingml/2006/main" sz="2200" i="1">
                        <a:solidFill>
                          <a:srgbClr val="000000"/>
                        </a:solidFill>
                        <a:latin typeface="Cambria Math" panose="02040503050406030204" pitchFamily="18" charset="0"/>
                      </a:rPr>
                      <m:t>p</m:t>
                    </m:r>
                    <m:r>
                      <a:rPr xmlns:a="http://schemas.openxmlformats.org/drawingml/2006/main" sz="2200" i="1">
                        <a:solidFill>
                          <a:srgbClr val="000000"/>
                        </a:solidFill>
                        <a:latin typeface="Cambria Math" panose="02040503050406030204" pitchFamily="18" charset="0"/>
                      </a:rPr>
                      <m:t>a</m:t>
                    </m:r>
                    <m:r>
                      <a:rPr xmlns:a="http://schemas.openxmlformats.org/drawingml/2006/main" sz="2200" i="1">
                        <a:solidFill>
                          <a:srgbClr val="000000"/>
                        </a:solidFill>
                        <a:latin typeface="Cambria Math" panose="02040503050406030204" pitchFamily="18" charset="0"/>
                      </a:rPr>
                      <m:t>c</m:t>
                    </m:r>
                    <m:r>
                      <a:rPr xmlns:a="http://schemas.openxmlformats.org/drawingml/2006/main" sz="2200" i="1">
                        <a:solidFill>
                          <a:srgbClr val="000000"/>
                        </a:solidFill>
                        <a:latin typeface="Cambria Math" panose="02040503050406030204" pitchFamily="18" charset="0"/>
                      </a:rPr>
                      <m:t>i</m:t>
                    </m:r>
                    <m:r>
                      <a:rPr xmlns:a="http://schemas.openxmlformats.org/drawingml/2006/main" sz="2200" i="1">
                        <a:solidFill>
                          <a:srgbClr val="000000"/>
                        </a:solidFill>
                        <a:latin typeface="Cambria Math" panose="02040503050406030204" pitchFamily="18" charset="0"/>
                      </a:rPr>
                      <m:t>t</m:t>
                    </m:r>
                    <m:r>
                      <a:rPr xmlns:a="http://schemas.openxmlformats.org/drawingml/2006/main" sz="2200" i="1">
                        <a:solidFill>
                          <a:srgbClr val="000000"/>
                        </a:solidFill>
                        <a:latin typeface="Cambria Math" panose="02040503050406030204" pitchFamily="18" charset="0"/>
                      </a:rPr>
                      <m:t>a</m:t>
                    </m:r>
                    <m:r>
                      <a:rPr xmlns:a="http://schemas.openxmlformats.org/drawingml/2006/main" sz="2200" i="1">
                        <a:solidFill>
                          <a:srgbClr val="000000"/>
                        </a:solidFill>
                        <a:latin typeface="Cambria Math" panose="02040503050406030204" pitchFamily="18" charset="0"/>
                      </a:rPr>
                      <m:t>n</m:t>
                    </m:r>
                    <m:r>
                      <a:rPr xmlns:a="http://schemas.openxmlformats.org/drawingml/2006/main" sz="2200" i="1">
                        <a:solidFill>
                          <a:srgbClr val="000000"/>
                        </a:solidFill>
                        <a:latin typeface="Cambria Math" panose="02040503050406030204" pitchFamily="18" charset="0"/>
                      </a:rPr>
                      <m:t>c</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o</m:t>
                    </m:r>
                    <m:r>
                      <a:rPr xmlns:a="http://schemas.openxmlformats.org/drawingml/2006/main" sz="2200" i="1">
                        <a:solidFill>
                          <a:srgbClr val="000000"/>
                        </a:solidFill>
                        <a:latin typeface="Cambria Math" panose="02040503050406030204" pitchFamily="18" charset="0"/>
                      </a:rPr>
                      <m:t>f</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D</m:t>
                    </m:r>
                    <m:r>
                      <a:rPr xmlns:a="http://schemas.openxmlformats.org/drawingml/2006/main" sz="2200" i="1">
                        <a:solidFill>
                          <a:srgbClr val="000000"/>
                        </a:solidFill>
                        <a:latin typeface="Cambria Math" panose="02040503050406030204" pitchFamily="18" charset="0"/>
                      </a:rPr>
                      <m:t>o</m:t>
                    </m:r>
                    <m:r>
                      <a:rPr xmlns:a="http://schemas.openxmlformats.org/drawingml/2006/main" sz="2200" i="1">
                        <a:solidFill>
                          <a:srgbClr val="000000"/>
                        </a:solidFill>
                        <a:latin typeface="Cambria Math" panose="02040503050406030204" pitchFamily="18" charset="0"/>
                      </a:rPr>
                      <m:t>u</m:t>
                    </m:r>
                    <m:r>
                      <a:rPr xmlns:a="http://schemas.openxmlformats.org/drawingml/2006/main" sz="2200" i="1">
                        <a:solidFill>
                          <a:srgbClr val="000000"/>
                        </a:solidFill>
                        <a:latin typeface="Cambria Math" panose="02040503050406030204" pitchFamily="18" charset="0"/>
                      </a:rPr>
                      <m:t>b</m:t>
                    </m:r>
                    <m:r>
                      <a:rPr xmlns:a="http://schemas.openxmlformats.org/drawingml/2006/main" sz="2200" i="1">
                        <a:solidFill>
                          <a:srgbClr val="000000"/>
                        </a:solidFill>
                        <a:latin typeface="Cambria Math" panose="02040503050406030204" pitchFamily="18" charset="0"/>
                      </a:rPr>
                      <m:t>l</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L</m:t>
                    </m:r>
                    <m:r>
                      <a:rPr xmlns:a="http://schemas.openxmlformats.org/drawingml/2006/main" sz="2200" i="1">
                        <a:solidFill>
                          <a:srgbClr val="000000"/>
                        </a:solidFill>
                        <a:latin typeface="Cambria Math" panose="02040503050406030204" pitchFamily="18" charset="0"/>
                      </a:rPr>
                      <m:t>a</m:t>
                    </m:r>
                    <m:r>
                      <a:rPr xmlns:a="http://schemas.openxmlformats.org/drawingml/2006/main" sz="2200" i="1">
                        <a:solidFill>
                          <a:srgbClr val="000000"/>
                        </a:solidFill>
                        <a:latin typeface="Cambria Math" panose="02040503050406030204" pitchFamily="18" charset="0"/>
                      </a:rPr>
                      <m:t>y</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r</m:t>
                    </m:r>
                  </m:sub>
                </m:sSub>
                <m:r>
                  <a:rPr xmlns:a="http://schemas.openxmlformats.org/drawingml/2006/main" sz="2200" i="1">
                    <a:solidFill>
                      <a:srgbClr val="000000"/>
                    </a:solidFill>
                    <a:latin typeface="Cambria Math" panose="02040503050406030204" pitchFamily="18" charset="0"/>
                  </a:rPr>
                  <m:t>=</m:t>
                </m:r>
                <m:sSub>
                  <m:e>
                    <m:r>
                      <a:rPr xmlns:a="http://schemas.openxmlformats.org/drawingml/2006/main" sz="2200" i="1">
                        <a:solidFill>
                          <a:srgbClr val="000000"/>
                        </a:solidFill>
                        <a:latin typeface="Cambria Math" panose="02040503050406030204" pitchFamily="18" charset="0"/>
                      </a:rPr>
                      <m:t>e</m:t>
                    </m:r>
                  </m:e>
                  <m:sub>
                    <m:r>
                      <a:rPr xmlns:a="http://schemas.openxmlformats.org/drawingml/2006/main" sz="2200" i="1">
                        <a:solidFill>
                          <a:srgbClr val="000000"/>
                        </a:solidFill>
                        <a:latin typeface="Cambria Math" panose="02040503050406030204" pitchFamily="18" charset="0"/>
                      </a:rPr>
                      <m:t>p</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r</m:t>
                    </m:r>
                    <m:r>
                      <a:rPr xmlns:a="http://schemas.openxmlformats.org/drawingml/2006/main" sz="2200" i="1">
                        <a:solidFill>
                          <a:srgbClr val="000000"/>
                        </a:solidFill>
                        <a:latin typeface="Cambria Math" panose="02040503050406030204" pitchFamily="18" charset="0"/>
                      </a:rPr>
                      <m:t>m</m:t>
                    </m:r>
                    <m:r>
                      <a:rPr xmlns:a="http://schemas.openxmlformats.org/drawingml/2006/main" sz="2200" i="1">
                        <a:solidFill>
                          <a:srgbClr val="000000"/>
                        </a:solidFill>
                        <a:latin typeface="Cambria Math" panose="02040503050406030204" pitchFamily="18" charset="0"/>
                      </a:rPr>
                      <m:t>i</m:t>
                    </m:r>
                    <m:r>
                      <a:rPr xmlns:a="http://schemas.openxmlformats.org/drawingml/2006/main" sz="2200" i="1">
                        <a:solidFill>
                          <a:srgbClr val="000000"/>
                        </a:solidFill>
                        <a:latin typeface="Cambria Math" panose="02040503050406030204" pitchFamily="18" charset="0"/>
                      </a:rPr>
                      <m:t>t</m:t>
                    </m:r>
                    <m:r>
                      <a:rPr xmlns:a="http://schemas.openxmlformats.org/drawingml/2006/main" sz="2200" i="1">
                        <a:solidFill>
                          <a:srgbClr val="000000"/>
                        </a:solidFill>
                        <a:latin typeface="Cambria Math" panose="02040503050406030204" pitchFamily="18" charset="0"/>
                      </a:rPr>
                      <m:t>i</m:t>
                    </m:r>
                    <m:r>
                      <a:rPr xmlns:a="http://schemas.openxmlformats.org/drawingml/2006/main" sz="2200" i="1">
                        <a:solidFill>
                          <a:srgbClr val="000000"/>
                        </a:solidFill>
                        <a:latin typeface="Cambria Math" panose="02040503050406030204" pitchFamily="18" charset="0"/>
                      </a:rPr>
                      <m:t>v</m:t>
                    </m:r>
                    <m:r>
                      <a:rPr xmlns:a="http://schemas.openxmlformats.org/drawingml/2006/main" sz="2200" i="1">
                        <a:solidFill>
                          <a:srgbClr val="000000"/>
                        </a:solidFill>
                        <a:latin typeface="Cambria Math" panose="02040503050406030204" pitchFamily="18" charset="0"/>
                      </a:rPr>
                      <m:t>i</m:t>
                    </m:r>
                    <m:r>
                      <a:rPr xmlns:a="http://schemas.openxmlformats.org/drawingml/2006/main" sz="2200" i="1">
                        <a:solidFill>
                          <a:srgbClr val="000000"/>
                        </a:solidFill>
                        <a:latin typeface="Cambria Math" panose="02040503050406030204" pitchFamily="18" charset="0"/>
                      </a:rPr>
                      <m:t>t</m:t>
                    </m:r>
                    <m:r>
                      <a:rPr xmlns:a="http://schemas.openxmlformats.org/drawingml/2006/main" sz="2200" i="1">
                        <a:solidFill>
                          <a:srgbClr val="000000"/>
                        </a:solidFill>
                        <a:latin typeface="Cambria Math" panose="02040503050406030204" pitchFamily="18" charset="0"/>
                      </a:rPr>
                      <m:t>y</m:t>
                    </m:r>
                  </m:sub>
                </m:sSub>
                <m:r>
                  <a:rPr xmlns:a="http://schemas.openxmlformats.org/drawingml/2006/main" sz="2200" i="1">
                    <a:solidFill>
                      <a:srgbClr val="000000"/>
                    </a:solidFill>
                    <a:latin typeface="Cambria Math" panose="02040503050406030204" pitchFamily="18" charset="0"/>
                  </a:rPr>
                  <m:t>/</m:t>
                </m:r>
                <m:sSub>
                  <m:e>
                    <m:r>
                      <a:rPr xmlns:a="http://schemas.openxmlformats.org/drawingml/2006/main" sz="2200" i="1">
                        <a:solidFill>
                          <a:srgbClr val="000000"/>
                        </a:solidFill>
                        <a:latin typeface="Cambria Math" panose="02040503050406030204" pitchFamily="18" charset="0"/>
                      </a:rPr>
                      <m:t>d</m:t>
                    </m:r>
                  </m:e>
                  <m:sub>
                    <m:r>
                      <a:rPr xmlns:a="http://schemas.openxmlformats.org/drawingml/2006/main" sz="2200" i="1">
                        <a:solidFill>
                          <a:srgbClr val="000000"/>
                        </a:solidFill>
                        <a:latin typeface="Cambria Math" panose="02040503050406030204" pitchFamily="18" charset="0"/>
                      </a:rPr>
                      <m:t>l</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n</m:t>
                    </m:r>
                    <m:r>
                      <a:rPr xmlns:a="http://schemas.openxmlformats.org/drawingml/2006/main" sz="2200" i="1">
                        <a:solidFill>
                          <a:srgbClr val="000000"/>
                        </a:solidFill>
                        <a:latin typeface="Cambria Math" panose="02040503050406030204" pitchFamily="18" charset="0"/>
                      </a:rPr>
                      <m:t>g</m:t>
                    </m:r>
                    <m:r>
                      <a:rPr xmlns:a="http://schemas.openxmlformats.org/drawingml/2006/main" sz="2200" i="1">
                        <a:solidFill>
                          <a:srgbClr val="000000"/>
                        </a:solidFill>
                        <a:latin typeface="Cambria Math" panose="02040503050406030204" pitchFamily="18" charset="0"/>
                      </a:rPr>
                      <m:t>t</m:t>
                    </m:r>
                    <m:r>
                      <a:rPr xmlns:a="http://schemas.openxmlformats.org/drawingml/2006/main" sz="2200" i="1">
                        <a:solidFill>
                          <a:srgbClr val="000000"/>
                        </a:solidFill>
                        <a:latin typeface="Cambria Math" panose="02040503050406030204" pitchFamily="18" charset="0"/>
                      </a:rPr>
                      <m:t>h</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o</m:t>
                    </m:r>
                    <m:r>
                      <a:rPr xmlns:a="http://schemas.openxmlformats.org/drawingml/2006/main" sz="2200" i="1">
                        <a:solidFill>
                          <a:srgbClr val="000000"/>
                        </a:solidFill>
                        <a:latin typeface="Cambria Math" panose="02040503050406030204" pitchFamily="18" charset="0"/>
                      </a:rPr>
                      <m:t>f</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l</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c</m:t>
                    </m:r>
                    <m:r>
                      <a:rPr xmlns:a="http://schemas.openxmlformats.org/drawingml/2006/main" sz="2200" i="1">
                        <a:solidFill>
                          <a:srgbClr val="000000"/>
                        </a:solidFill>
                        <a:latin typeface="Cambria Math" panose="02040503050406030204" pitchFamily="18" charset="0"/>
                      </a:rPr>
                      <m:t>t</m:t>
                    </m:r>
                    <m:r>
                      <a:rPr xmlns:a="http://schemas.openxmlformats.org/drawingml/2006/main" sz="2200" i="1">
                        <a:solidFill>
                          <a:srgbClr val="000000"/>
                        </a:solidFill>
                        <a:latin typeface="Cambria Math" panose="02040503050406030204" pitchFamily="18" charset="0"/>
                      </a:rPr>
                      <m:t>r</m:t>
                    </m:r>
                    <m:r>
                      <a:rPr xmlns:a="http://schemas.openxmlformats.org/drawingml/2006/main" sz="2200" i="1">
                        <a:solidFill>
                          <a:srgbClr val="000000"/>
                        </a:solidFill>
                        <a:latin typeface="Cambria Math" panose="02040503050406030204" pitchFamily="18" charset="0"/>
                      </a:rPr>
                      <m:t>i</m:t>
                    </m:r>
                    <m:r>
                      <a:rPr xmlns:a="http://schemas.openxmlformats.org/drawingml/2006/main" sz="2200" i="1">
                        <a:solidFill>
                          <a:srgbClr val="000000"/>
                        </a:solidFill>
                        <a:latin typeface="Cambria Math" panose="02040503050406030204" pitchFamily="18" charset="0"/>
                      </a:rPr>
                      <m:t>c</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D</m:t>
                    </m:r>
                    <m:r>
                      <a:rPr xmlns:a="http://schemas.openxmlformats.org/drawingml/2006/main" sz="2200" i="1">
                        <a:solidFill>
                          <a:srgbClr val="000000"/>
                        </a:solidFill>
                        <a:latin typeface="Cambria Math" panose="02040503050406030204" pitchFamily="18" charset="0"/>
                      </a:rPr>
                      <m:t>o</m:t>
                    </m:r>
                    <m:r>
                      <a:rPr xmlns:a="http://schemas.openxmlformats.org/drawingml/2006/main" sz="2200" i="1">
                        <a:solidFill>
                          <a:srgbClr val="000000"/>
                        </a:solidFill>
                        <a:latin typeface="Cambria Math" panose="02040503050406030204" pitchFamily="18" charset="0"/>
                      </a:rPr>
                      <m:t>u</m:t>
                    </m:r>
                    <m:r>
                      <a:rPr xmlns:a="http://schemas.openxmlformats.org/drawingml/2006/main" sz="2200" i="1">
                        <a:solidFill>
                          <a:srgbClr val="000000"/>
                        </a:solidFill>
                        <a:latin typeface="Cambria Math" panose="02040503050406030204" pitchFamily="18" charset="0"/>
                      </a:rPr>
                      <m:t>b</m:t>
                    </m:r>
                    <m:r>
                      <a:rPr xmlns:a="http://schemas.openxmlformats.org/drawingml/2006/main" sz="2200" i="1">
                        <a:solidFill>
                          <a:srgbClr val="000000"/>
                        </a:solidFill>
                        <a:latin typeface="Cambria Math" panose="02040503050406030204" pitchFamily="18" charset="0"/>
                      </a:rPr>
                      <m:t>l</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L</m:t>
                    </m:r>
                    <m:r>
                      <a:rPr xmlns:a="http://schemas.openxmlformats.org/drawingml/2006/main" sz="2200" i="1">
                        <a:solidFill>
                          <a:srgbClr val="000000"/>
                        </a:solidFill>
                        <a:latin typeface="Cambria Math" panose="02040503050406030204" pitchFamily="18" charset="0"/>
                      </a:rPr>
                      <m:t>a</m:t>
                    </m:r>
                    <m:r>
                      <a:rPr xmlns:a="http://schemas.openxmlformats.org/drawingml/2006/main" sz="2200" i="1">
                        <a:solidFill>
                          <a:srgbClr val="000000"/>
                        </a:solidFill>
                        <a:latin typeface="Cambria Math" panose="02040503050406030204" pitchFamily="18" charset="0"/>
                      </a:rPr>
                      <m:t>y</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r</m:t>
                    </m:r>
                  </m:sub>
                </m:sSub>
              </m:oMath>
            </m:oMathPara>
          </a14:m>
          <a:endParaRPr sz="2200">
            <a:solidFill>
              <a:srgbClr val="000000"/>
            </a:solidFill>
          </a:endParaRPr>
        </a:p>
      </xdr:txBody>
    </xdr:sp>
    <xdr:clientData/>
  </xdr:twoCellAnchor>
  <xdr:twoCellAnchor>
    <xdr:from>
      <xdr:col>7</xdr:col>
      <xdr:colOff>192129</xdr:colOff>
      <xdr:row>9</xdr:row>
      <xdr:rowOff>244054</xdr:rowOff>
    </xdr:from>
    <xdr:to>
      <xdr:col>11</xdr:col>
      <xdr:colOff>1030756</xdr:colOff>
      <xdr:row>11</xdr:row>
      <xdr:rowOff>97242</xdr:rowOff>
    </xdr:to>
    <xdr:sp>
      <xdr:nvSpPr>
        <xdr:cNvPr id="8" name="Shape 8"/>
        <xdr:cNvSpPr txBox="1"/>
      </xdr:nvSpPr>
      <xdr:spPr>
        <a:xfrm>
          <a:off x="9767929" y="3065359"/>
          <a:ext cx="5817028" cy="469139"/>
        </a:xfrm>
        <a:prstGeom prst="rect">
          <a:avLst/>
        </a:prstGeom>
        <a:noFill/>
        <a:ln w="12700" cap="flat">
          <a:noFill/>
          <a:miter lim="400000"/>
        </a:ln>
        <a:effectLst/>
      </xdr:spPr>
      <xdr:txBody>
        <a:bodyPr wrap="none" lIns="0" tIns="0" rIns="0" bIns="0">
          <a:spAutoFit/>
        </a:bodyPr>
        <a:lstStyle/>
        <a:p>
          <a:pPr/>
          <a14:m>
            <m:oMathPara>
              <m:oMathParaPr>
                <m:jc m:val="centerGroup"/>
              </m:oMathParaPr>
              <m:oMath>
                <m:sSub>
                  <m:e>
                    <m:r>
                      <a:rPr xmlns:a="http://schemas.openxmlformats.org/drawingml/2006/main" sz="2000" i="1">
                        <a:solidFill>
                          <a:srgbClr val="000000"/>
                        </a:solidFill>
                        <a:latin typeface="Cambria Math" panose="02040503050406030204" pitchFamily="18" charset="0"/>
                      </a:rPr>
                      <m:t>d</m:t>
                    </m:r>
                  </m:e>
                  <m:sub>
                    <m:r>
                      <a:rPr xmlns:a="http://schemas.openxmlformats.org/drawingml/2006/main" sz="2000" i="1">
                        <a:solidFill>
                          <a:srgbClr val="000000"/>
                        </a:solidFill>
                        <a:latin typeface="Cambria Math" panose="02040503050406030204" pitchFamily="18" charset="0"/>
                      </a:rPr>
                      <m:t>l</m:t>
                    </m:r>
                    <m:r>
                      <a:rPr xmlns:a="http://schemas.openxmlformats.org/drawingml/2006/main" sz="2000" i="1">
                        <a:solidFill>
                          <a:srgbClr val="000000"/>
                        </a:solidFill>
                        <a:latin typeface="Cambria Math" panose="02040503050406030204" pitchFamily="18" charset="0"/>
                      </a:rPr>
                      <m:t>e</m:t>
                    </m:r>
                    <m:r>
                      <a:rPr xmlns:a="http://schemas.openxmlformats.org/drawingml/2006/main" sz="2000" i="1">
                        <a:solidFill>
                          <a:srgbClr val="000000"/>
                        </a:solidFill>
                        <a:latin typeface="Cambria Math" panose="02040503050406030204" pitchFamily="18" charset="0"/>
                      </a:rPr>
                      <m:t>n</m:t>
                    </m:r>
                    <m:r>
                      <a:rPr xmlns:a="http://schemas.openxmlformats.org/drawingml/2006/main" sz="2000" i="1">
                        <a:solidFill>
                          <a:srgbClr val="000000"/>
                        </a:solidFill>
                        <a:latin typeface="Cambria Math" panose="02040503050406030204" pitchFamily="18" charset="0"/>
                      </a:rPr>
                      <m:t>g</m:t>
                    </m:r>
                    <m:r>
                      <a:rPr xmlns:a="http://schemas.openxmlformats.org/drawingml/2006/main" sz="2000" i="1">
                        <a:solidFill>
                          <a:srgbClr val="000000"/>
                        </a:solidFill>
                        <a:latin typeface="Cambria Math" panose="02040503050406030204" pitchFamily="18" charset="0"/>
                      </a:rPr>
                      <m:t>t</m:t>
                    </m:r>
                    <m:r>
                      <a:rPr xmlns:a="http://schemas.openxmlformats.org/drawingml/2006/main" sz="2000" i="1">
                        <a:solidFill>
                          <a:srgbClr val="000000"/>
                        </a:solidFill>
                        <a:latin typeface="Cambria Math" panose="02040503050406030204" pitchFamily="18" charset="0"/>
                      </a:rPr>
                      <m:t>h</m:t>
                    </m:r>
                    <m:r>
                      <a:rPr xmlns:a="http://schemas.openxmlformats.org/drawingml/2006/main" sz="2000" i="1">
                        <a:solidFill>
                          <a:srgbClr val="000000"/>
                        </a:solidFill>
                        <a:latin typeface="Cambria Math" panose="02040503050406030204" pitchFamily="18" charset="0"/>
                      </a:rPr>
                      <m:t>-</m:t>
                    </m:r>
                    <m:r>
                      <a:rPr xmlns:a="http://schemas.openxmlformats.org/drawingml/2006/main" sz="2000" i="1">
                        <a:solidFill>
                          <a:srgbClr val="000000"/>
                        </a:solidFill>
                        <a:latin typeface="Cambria Math" panose="02040503050406030204" pitchFamily="18" charset="0"/>
                      </a:rPr>
                      <m:t>o</m:t>
                    </m:r>
                    <m:r>
                      <a:rPr xmlns:a="http://schemas.openxmlformats.org/drawingml/2006/main" sz="2000" i="1">
                        <a:solidFill>
                          <a:srgbClr val="000000"/>
                        </a:solidFill>
                        <a:latin typeface="Cambria Math" panose="02040503050406030204" pitchFamily="18" charset="0"/>
                      </a:rPr>
                      <m:t>f</m:t>
                    </m:r>
                    <m:r>
                      <a:rPr xmlns:a="http://schemas.openxmlformats.org/drawingml/2006/main" sz="2000" i="1">
                        <a:solidFill>
                          <a:srgbClr val="000000"/>
                        </a:solidFill>
                        <a:latin typeface="Cambria Math" panose="02040503050406030204" pitchFamily="18" charset="0"/>
                      </a:rPr>
                      <m:t>-</m:t>
                    </m:r>
                    <m:r>
                      <a:rPr xmlns:a="http://schemas.openxmlformats.org/drawingml/2006/main" sz="2000" i="1">
                        <a:solidFill>
                          <a:srgbClr val="000000"/>
                        </a:solidFill>
                        <a:latin typeface="Cambria Math" panose="02040503050406030204" pitchFamily="18" charset="0"/>
                      </a:rPr>
                      <m:t>E</m:t>
                    </m:r>
                    <m:r>
                      <a:rPr xmlns:a="http://schemas.openxmlformats.org/drawingml/2006/main" sz="2000" i="1">
                        <a:solidFill>
                          <a:srgbClr val="000000"/>
                        </a:solidFill>
                        <a:latin typeface="Cambria Math" panose="02040503050406030204" pitchFamily="18" charset="0"/>
                      </a:rPr>
                      <m:t>l</m:t>
                    </m:r>
                    <m:r>
                      <a:rPr xmlns:a="http://schemas.openxmlformats.org/drawingml/2006/main" sz="2000" i="1">
                        <a:solidFill>
                          <a:srgbClr val="000000"/>
                        </a:solidFill>
                        <a:latin typeface="Cambria Math" panose="02040503050406030204" pitchFamily="18" charset="0"/>
                      </a:rPr>
                      <m:t>e</m:t>
                    </m:r>
                    <m:r>
                      <a:rPr xmlns:a="http://schemas.openxmlformats.org/drawingml/2006/main" sz="2000" i="1">
                        <a:solidFill>
                          <a:srgbClr val="000000"/>
                        </a:solidFill>
                        <a:latin typeface="Cambria Math" panose="02040503050406030204" pitchFamily="18" charset="0"/>
                      </a:rPr>
                      <m:t>c</m:t>
                    </m:r>
                    <m:r>
                      <a:rPr xmlns:a="http://schemas.openxmlformats.org/drawingml/2006/main" sz="2000" i="1">
                        <a:solidFill>
                          <a:srgbClr val="000000"/>
                        </a:solidFill>
                        <a:latin typeface="Cambria Math" panose="02040503050406030204" pitchFamily="18" charset="0"/>
                      </a:rPr>
                      <m:t>t</m:t>
                    </m:r>
                    <m:r>
                      <a:rPr xmlns:a="http://schemas.openxmlformats.org/drawingml/2006/main" sz="2000" i="1">
                        <a:solidFill>
                          <a:srgbClr val="000000"/>
                        </a:solidFill>
                        <a:latin typeface="Cambria Math" panose="02040503050406030204" pitchFamily="18" charset="0"/>
                      </a:rPr>
                      <m:t>r</m:t>
                    </m:r>
                    <m:r>
                      <a:rPr xmlns:a="http://schemas.openxmlformats.org/drawingml/2006/main" sz="2000" i="1">
                        <a:solidFill>
                          <a:srgbClr val="000000"/>
                        </a:solidFill>
                        <a:latin typeface="Cambria Math" panose="02040503050406030204" pitchFamily="18" charset="0"/>
                      </a:rPr>
                      <m:t>i</m:t>
                    </m:r>
                    <m:r>
                      <a:rPr xmlns:a="http://schemas.openxmlformats.org/drawingml/2006/main" sz="2000" i="1">
                        <a:solidFill>
                          <a:srgbClr val="000000"/>
                        </a:solidFill>
                        <a:latin typeface="Cambria Math" panose="02040503050406030204" pitchFamily="18" charset="0"/>
                      </a:rPr>
                      <m:t>c</m:t>
                    </m:r>
                    <m:r>
                      <a:rPr xmlns:a="http://schemas.openxmlformats.org/drawingml/2006/main" sz="2000" i="1">
                        <a:solidFill>
                          <a:srgbClr val="000000"/>
                        </a:solidFill>
                        <a:latin typeface="Cambria Math" panose="02040503050406030204" pitchFamily="18" charset="0"/>
                      </a:rPr>
                      <m:t>-</m:t>
                    </m:r>
                    <m:r>
                      <a:rPr xmlns:a="http://schemas.openxmlformats.org/drawingml/2006/main" sz="2000" i="1">
                        <a:solidFill>
                          <a:srgbClr val="000000"/>
                        </a:solidFill>
                        <a:latin typeface="Cambria Math" panose="02040503050406030204" pitchFamily="18" charset="0"/>
                      </a:rPr>
                      <m:t>D</m:t>
                    </m:r>
                    <m:r>
                      <a:rPr xmlns:a="http://schemas.openxmlformats.org/drawingml/2006/main" sz="2000" i="1">
                        <a:solidFill>
                          <a:srgbClr val="000000"/>
                        </a:solidFill>
                        <a:latin typeface="Cambria Math" panose="02040503050406030204" pitchFamily="18" charset="0"/>
                      </a:rPr>
                      <m:t>o</m:t>
                    </m:r>
                    <m:r>
                      <a:rPr xmlns:a="http://schemas.openxmlformats.org/drawingml/2006/main" sz="2000" i="1">
                        <a:solidFill>
                          <a:srgbClr val="000000"/>
                        </a:solidFill>
                        <a:latin typeface="Cambria Math" panose="02040503050406030204" pitchFamily="18" charset="0"/>
                      </a:rPr>
                      <m:t>u</m:t>
                    </m:r>
                    <m:r>
                      <a:rPr xmlns:a="http://schemas.openxmlformats.org/drawingml/2006/main" sz="2000" i="1">
                        <a:solidFill>
                          <a:srgbClr val="000000"/>
                        </a:solidFill>
                        <a:latin typeface="Cambria Math" panose="02040503050406030204" pitchFamily="18" charset="0"/>
                      </a:rPr>
                      <m:t>b</m:t>
                    </m:r>
                    <m:r>
                      <a:rPr xmlns:a="http://schemas.openxmlformats.org/drawingml/2006/main" sz="2000" i="1">
                        <a:solidFill>
                          <a:srgbClr val="000000"/>
                        </a:solidFill>
                        <a:latin typeface="Cambria Math" panose="02040503050406030204" pitchFamily="18" charset="0"/>
                      </a:rPr>
                      <m:t>l</m:t>
                    </m:r>
                    <m:r>
                      <a:rPr xmlns:a="http://schemas.openxmlformats.org/drawingml/2006/main" sz="2000" i="1">
                        <a:solidFill>
                          <a:srgbClr val="000000"/>
                        </a:solidFill>
                        <a:latin typeface="Cambria Math" panose="02040503050406030204" pitchFamily="18" charset="0"/>
                      </a:rPr>
                      <m:t>e</m:t>
                    </m:r>
                    <m:r>
                      <a:rPr xmlns:a="http://schemas.openxmlformats.org/drawingml/2006/main" sz="2000" i="1">
                        <a:solidFill>
                          <a:srgbClr val="000000"/>
                        </a:solidFill>
                        <a:latin typeface="Cambria Math" panose="02040503050406030204" pitchFamily="18" charset="0"/>
                      </a:rPr>
                      <m:t>-</m:t>
                    </m:r>
                    <m:r>
                      <a:rPr xmlns:a="http://schemas.openxmlformats.org/drawingml/2006/main" sz="2000" i="1">
                        <a:solidFill>
                          <a:srgbClr val="000000"/>
                        </a:solidFill>
                        <a:latin typeface="Cambria Math" panose="02040503050406030204" pitchFamily="18" charset="0"/>
                      </a:rPr>
                      <m:t>L</m:t>
                    </m:r>
                    <m:r>
                      <a:rPr xmlns:a="http://schemas.openxmlformats.org/drawingml/2006/main" sz="2000" i="1">
                        <a:solidFill>
                          <a:srgbClr val="000000"/>
                        </a:solidFill>
                        <a:latin typeface="Cambria Math" panose="02040503050406030204" pitchFamily="18" charset="0"/>
                      </a:rPr>
                      <m:t>a</m:t>
                    </m:r>
                    <m:r>
                      <a:rPr xmlns:a="http://schemas.openxmlformats.org/drawingml/2006/main" sz="2000" i="1">
                        <a:solidFill>
                          <a:srgbClr val="000000"/>
                        </a:solidFill>
                        <a:latin typeface="Cambria Math" panose="02040503050406030204" pitchFamily="18" charset="0"/>
                      </a:rPr>
                      <m:t>y</m:t>
                    </m:r>
                    <m:r>
                      <a:rPr xmlns:a="http://schemas.openxmlformats.org/drawingml/2006/main" sz="2000" i="1">
                        <a:solidFill>
                          <a:srgbClr val="000000"/>
                        </a:solidFill>
                        <a:latin typeface="Cambria Math" panose="02040503050406030204" pitchFamily="18" charset="0"/>
                      </a:rPr>
                      <m:t>e</m:t>
                    </m:r>
                    <m:r>
                      <a:rPr xmlns:a="http://schemas.openxmlformats.org/drawingml/2006/main" sz="2000" i="1">
                        <a:solidFill>
                          <a:srgbClr val="000000"/>
                        </a:solidFill>
                        <a:latin typeface="Cambria Math" panose="02040503050406030204" pitchFamily="18" charset="0"/>
                      </a:rPr>
                      <m:t>r</m:t>
                    </m:r>
                  </m:sub>
                </m:sSub>
                <m:r>
                  <a:rPr xmlns:a="http://schemas.openxmlformats.org/drawingml/2006/main" sz="2000" i="1">
                    <a:solidFill>
                      <a:srgbClr val="000000"/>
                    </a:solidFill>
                    <a:latin typeface="Cambria Math" panose="02040503050406030204" pitchFamily="18" charset="0"/>
                  </a:rPr>
                  <m:t>=</m:t>
                </m:r>
                <m:rad>
                  <m:radPr>
                    <m:ctrlPr>
                      <a:rPr xmlns:a="http://schemas.openxmlformats.org/drawingml/2006/main" sz="2000" i="1">
                        <a:solidFill>
                          <a:srgbClr val="000000"/>
                        </a:solidFill>
                        <a:latin typeface="Cambria Math" panose="02040503050406030204" pitchFamily="18" charset="0"/>
                      </a:rPr>
                    </m:ctrlPr>
                    <m:degHide m:val="on"/>
                  </m:radPr>
                  <m:deg/>
                  <m:e>
                    <m:r>
                      <a:rPr xmlns:a="http://schemas.openxmlformats.org/drawingml/2006/main" sz="2000" i="1">
                        <a:solidFill>
                          <a:srgbClr val="000000"/>
                        </a:solidFill>
                        <a:latin typeface="Cambria Math" panose="02040503050406030204" pitchFamily="18" charset="0"/>
                      </a:rPr>
                      <m:t>[</m:t>
                    </m:r>
                    <m:r>
                      <a:rPr xmlns:a="http://schemas.openxmlformats.org/drawingml/2006/main" sz="2000" i="1">
                        <a:solidFill>
                          <a:srgbClr val="000000"/>
                        </a:solidFill>
                        <a:latin typeface="Cambria Math" panose="02040503050406030204" pitchFamily="18" charset="0"/>
                      </a:rPr>
                      <m:t>k</m:t>
                    </m:r>
                    <m:r>
                      <a:rPr xmlns:a="http://schemas.openxmlformats.org/drawingml/2006/main" sz="2000" i="1">
                        <a:solidFill>
                          <a:srgbClr val="000000"/>
                        </a:solidFill>
                        <a:latin typeface="Cambria Math" panose="02040503050406030204" pitchFamily="18" charset="0"/>
                      </a:rPr>
                      <m:t>T</m:t>
                    </m:r>
                    <m:sSub>
                      <m:e>
                        <m:r>
                          <a:rPr xmlns:a="http://schemas.openxmlformats.org/drawingml/2006/main" sz="2000" i="1">
                            <a:solidFill>
                              <a:srgbClr val="000000"/>
                            </a:solidFill>
                            <a:latin typeface="Cambria Math" panose="02040503050406030204" pitchFamily="18" charset="0"/>
                          </a:rPr>
                          <m:t>e</m:t>
                        </m:r>
                      </m:e>
                      <m:sub>
                        <m:r>
                          <a:rPr xmlns:a="http://schemas.openxmlformats.org/drawingml/2006/main" sz="2000" i="1">
                            <a:solidFill>
                              <a:srgbClr val="000000"/>
                            </a:solidFill>
                            <a:latin typeface="Cambria Math" panose="02040503050406030204" pitchFamily="18" charset="0"/>
                          </a:rPr>
                          <m:t>p</m:t>
                        </m:r>
                        <m:r>
                          <a:rPr xmlns:a="http://schemas.openxmlformats.org/drawingml/2006/main" sz="2000" i="1">
                            <a:solidFill>
                              <a:srgbClr val="000000"/>
                            </a:solidFill>
                            <a:latin typeface="Cambria Math" panose="02040503050406030204" pitchFamily="18" charset="0"/>
                          </a:rPr>
                          <m:t>e</m:t>
                        </m:r>
                        <m:r>
                          <a:rPr xmlns:a="http://schemas.openxmlformats.org/drawingml/2006/main" sz="2000" i="1">
                            <a:solidFill>
                              <a:srgbClr val="000000"/>
                            </a:solidFill>
                            <a:latin typeface="Cambria Math" panose="02040503050406030204" pitchFamily="18" charset="0"/>
                          </a:rPr>
                          <m:t>r</m:t>
                        </m:r>
                        <m:r>
                          <a:rPr xmlns:a="http://schemas.openxmlformats.org/drawingml/2006/main" sz="2000" i="1">
                            <a:solidFill>
                              <a:srgbClr val="000000"/>
                            </a:solidFill>
                            <a:latin typeface="Cambria Math" panose="02040503050406030204" pitchFamily="18" charset="0"/>
                          </a:rPr>
                          <m:t>m</m:t>
                        </m:r>
                        <m:r>
                          <a:rPr xmlns:a="http://schemas.openxmlformats.org/drawingml/2006/main" sz="2000" i="1">
                            <a:solidFill>
                              <a:srgbClr val="000000"/>
                            </a:solidFill>
                            <a:latin typeface="Cambria Math" panose="02040503050406030204" pitchFamily="18" charset="0"/>
                          </a:rPr>
                          <m:t>i</m:t>
                        </m:r>
                        <m:r>
                          <a:rPr xmlns:a="http://schemas.openxmlformats.org/drawingml/2006/main" sz="2000" i="1">
                            <a:solidFill>
                              <a:srgbClr val="000000"/>
                            </a:solidFill>
                            <a:latin typeface="Cambria Math" panose="02040503050406030204" pitchFamily="18" charset="0"/>
                          </a:rPr>
                          <m:t>t</m:t>
                        </m:r>
                        <m:r>
                          <a:rPr xmlns:a="http://schemas.openxmlformats.org/drawingml/2006/main" sz="2000" i="1">
                            <a:solidFill>
                              <a:srgbClr val="000000"/>
                            </a:solidFill>
                            <a:latin typeface="Cambria Math" panose="02040503050406030204" pitchFamily="18" charset="0"/>
                          </a:rPr>
                          <m:t>i</m:t>
                        </m:r>
                        <m:r>
                          <a:rPr xmlns:a="http://schemas.openxmlformats.org/drawingml/2006/main" sz="2000" i="1">
                            <a:solidFill>
                              <a:srgbClr val="000000"/>
                            </a:solidFill>
                            <a:latin typeface="Cambria Math" panose="02040503050406030204" pitchFamily="18" charset="0"/>
                          </a:rPr>
                          <m:t>v</m:t>
                        </m:r>
                        <m:r>
                          <a:rPr xmlns:a="http://schemas.openxmlformats.org/drawingml/2006/main" sz="2000" i="1">
                            <a:solidFill>
                              <a:srgbClr val="000000"/>
                            </a:solidFill>
                            <a:latin typeface="Cambria Math" panose="02040503050406030204" pitchFamily="18" charset="0"/>
                          </a:rPr>
                          <m:t>y</m:t>
                        </m:r>
                      </m:sub>
                    </m:sSub>
                    <m:r>
                      <a:rPr xmlns:a="http://schemas.openxmlformats.org/drawingml/2006/main" sz="2000" i="1">
                        <a:solidFill>
                          <a:srgbClr val="000000"/>
                        </a:solidFill>
                        <a:latin typeface="Cambria Math" panose="02040503050406030204" pitchFamily="18" charset="0"/>
                      </a:rPr>
                      <m:t>/</m:t>
                    </m:r>
                    <m:r>
                      <a:rPr xmlns:a="http://schemas.openxmlformats.org/drawingml/2006/main" sz="2000" i="1">
                        <a:solidFill>
                          <a:srgbClr val="000000"/>
                        </a:solidFill>
                        <a:latin typeface="Cambria Math" panose="02040503050406030204" pitchFamily="18" charset="0"/>
                      </a:rPr>
                      <m:t>2</m:t>
                    </m:r>
                    <m:r>
                      <a:rPr xmlns:a="http://schemas.openxmlformats.org/drawingml/2006/main" sz="2000" i="1">
                        <a:solidFill>
                          <a:srgbClr val="000000"/>
                        </a:solidFill>
                        <a:latin typeface="Cambria Math" panose="02040503050406030204" pitchFamily="18" charset="0"/>
                      </a:rPr>
                      <m:t>(</m:t>
                    </m:r>
                    <m:r>
                      <a:rPr xmlns:a="http://schemas.openxmlformats.org/drawingml/2006/main" sz="2000" i="1">
                        <a:solidFill>
                          <a:srgbClr val="000000"/>
                        </a:solidFill>
                        <a:latin typeface="Cambria Math" panose="02040503050406030204" pitchFamily="18" charset="0"/>
                      </a:rPr>
                      <m:t>z</m:t>
                    </m:r>
                    <m:r>
                      <a:rPr xmlns:a="http://schemas.openxmlformats.org/drawingml/2006/main" sz="2000" i="1">
                        <a:solidFill>
                          <a:srgbClr val="000000"/>
                        </a:solidFill>
                        <a:latin typeface="Cambria Math" panose="02040503050406030204" pitchFamily="18" charset="0"/>
                      </a:rPr>
                      <m:t>e</m:t>
                    </m:r>
                    <m:sSup>
                      <m:e>
                        <m:r>
                          <a:rPr xmlns:a="http://schemas.openxmlformats.org/drawingml/2006/main" sz="2000" i="1">
                            <a:solidFill>
                              <a:srgbClr val="000000"/>
                            </a:solidFill>
                            <a:latin typeface="Cambria Math" panose="02040503050406030204" pitchFamily="18" charset="0"/>
                          </a:rPr>
                          <m:t>)</m:t>
                        </m:r>
                      </m:e>
                      <m:sup>
                        <m:r>
                          <a:rPr xmlns:a="http://schemas.openxmlformats.org/drawingml/2006/main" sz="2000" i="1">
                            <a:solidFill>
                              <a:srgbClr val="000000"/>
                            </a:solidFill>
                            <a:latin typeface="Cambria Math" panose="02040503050406030204" pitchFamily="18" charset="0"/>
                          </a:rPr>
                          <m:t>2</m:t>
                        </m:r>
                      </m:sup>
                    </m:sSup>
                    <m:sSub>
                      <m:e>
                        <m:r>
                          <a:rPr xmlns:a="http://schemas.openxmlformats.org/drawingml/2006/main" sz="2000" i="1">
                            <a:solidFill>
                              <a:srgbClr val="000000"/>
                            </a:solidFill>
                            <a:latin typeface="Cambria Math" panose="02040503050406030204" pitchFamily="18" charset="0"/>
                          </a:rPr>
                          <m:t>N</m:t>
                        </m:r>
                      </m:e>
                      <m:sub>
                        <m:r>
                          <a:rPr xmlns:a="http://schemas.openxmlformats.org/drawingml/2006/main" sz="2000" i="1">
                            <a:solidFill>
                              <a:srgbClr val="000000"/>
                            </a:solidFill>
                            <a:latin typeface="Cambria Math" panose="02040503050406030204" pitchFamily="18" charset="0"/>
                          </a:rPr>
                          <m:t>A</m:t>
                        </m:r>
                      </m:sub>
                    </m:sSub>
                    <m:sSub>
                      <m:e>
                        <m:r>
                          <a:rPr xmlns:a="http://schemas.openxmlformats.org/drawingml/2006/main" sz="2000" i="1">
                            <a:solidFill>
                              <a:srgbClr val="000000"/>
                            </a:solidFill>
                            <a:latin typeface="Cambria Math" panose="02040503050406030204" pitchFamily="18" charset="0"/>
                          </a:rPr>
                          <m:t>C</m:t>
                        </m:r>
                      </m:e>
                      <m:sub>
                        <m:r>
                          <a:rPr xmlns:a="http://schemas.openxmlformats.org/drawingml/2006/main" sz="2000" i="1">
                            <a:solidFill>
                              <a:srgbClr val="000000"/>
                            </a:solidFill>
                            <a:latin typeface="Cambria Math" panose="02040503050406030204" pitchFamily="18" charset="0"/>
                          </a:rPr>
                          <m:t>o</m:t>
                        </m:r>
                      </m:sub>
                    </m:sSub>
                    <m:r>
                      <a:rPr xmlns:a="http://schemas.openxmlformats.org/drawingml/2006/main" sz="2000" i="1">
                        <a:solidFill>
                          <a:srgbClr val="000000"/>
                        </a:solidFill>
                        <a:latin typeface="Cambria Math" panose="02040503050406030204" pitchFamily="18" charset="0"/>
                      </a:rPr>
                      <m:t>]</m:t>
                    </m:r>
                  </m:e>
                </m:rad>
              </m:oMath>
            </m:oMathPara>
          </a14:m>
          <a:endParaRPr sz="2000">
            <a:solidFill>
              <a:srgbClr val="000000"/>
            </a:solidFill>
          </a:endParaRPr>
        </a:p>
      </xdr:txBody>
    </xdr:sp>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7</xdr:col>
      <xdr:colOff>461456</xdr:colOff>
      <xdr:row>2</xdr:row>
      <xdr:rowOff>141882</xdr:rowOff>
    </xdr:from>
    <xdr:to>
      <xdr:col>12</xdr:col>
      <xdr:colOff>166401</xdr:colOff>
      <xdr:row>4</xdr:row>
      <xdr:rowOff>138504</xdr:rowOff>
    </xdr:to>
    <xdr:sp>
      <xdr:nvSpPr>
        <xdr:cNvPr id="10" name="Shape 10"/>
        <xdr:cNvSpPr txBox="1"/>
      </xdr:nvSpPr>
      <xdr:spPr>
        <a:xfrm>
          <a:off x="10850056" y="757832"/>
          <a:ext cx="5927946" cy="516053"/>
        </a:xfrm>
        <a:prstGeom prst="rect">
          <a:avLst/>
        </a:prstGeom>
        <a:noFill/>
        <a:ln w="12700" cap="flat">
          <a:noFill/>
          <a:miter lim="400000"/>
        </a:ln>
        <a:effectLst/>
      </xdr:spPr>
      <xdr:txBody>
        <a:bodyPr wrap="none" lIns="0" tIns="0" rIns="0" bIns="0">
          <a:spAutoFit/>
        </a:bodyPr>
        <a:lstStyle/>
        <a:p>
          <a:pPr/>
          <a14:m>
            <m:oMathPara>
              <m:oMathParaPr>
                <m:jc m:val="centerGroup"/>
              </m:oMathParaPr>
              <m:oMath>
                <m:sSub>
                  <m:e>
                    <m:r>
                      <a:rPr xmlns:a="http://schemas.openxmlformats.org/drawingml/2006/main" sz="2200" i="1">
                        <a:solidFill>
                          <a:srgbClr val="000000"/>
                        </a:solidFill>
                        <a:latin typeface="Cambria Math" panose="02040503050406030204" pitchFamily="18" charset="0"/>
                      </a:rPr>
                      <m:t>C</m:t>
                    </m:r>
                  </m:e>
                  <m:sub>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D</m:t>
                    </m:r>
                    <m:r>
                      <a:rPr xmlns:a="http://schemas.openxmlformats.org/drawingml/2006/main" sz="2200" i="1">
                        <a:solidFill>
                          <a:srgbClr val="000000"/>
                        </a:solidFill>
                        <a:latin typeface="Cambria Math" panose="02040503050406030204" pitchFamily="18" charset="0"/>
                      </a:rPr>
                      <m:t>L</m:t>
                    </m:r>
                  </m:sub>
                </m:sSub>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A</m:t>
                </m:r>
                <m:r>
                  <a:rPr xmlns:a="http://schemas.openxmlformats.org/drawingml/2006/main" sz="2200" i="1">
                    <a:solidFill>
                      <a:srgbClr val="000000"/>
                    </a:solidFill>
                    <a:latin typeface="Cambria Math" panose="02040503050406030204" pitchFamily="18" charset="0"/>
                  </a:rPr>
                  <m:t>*</m:t>
                </m:r>
                <m:rad>
                  <m:radPr>
                    <m:ctrlPr>
                      <a:rPr xmlns:a="http://schemas.openxmlformats.org/drawingml/2006/main" sz="2200" i="1">
                        <a:solidFill>
                          <a:srgbClr val="000000"/>
                        </a:solidFill>
                        <a:latin typeface="Cambria Math" panose="02040503050406030204" pitchFamily="18" charset="0"/>
                      </a:rPr>
                    </m:ctrlPr>
                    <m:degHide m:val="on"/>
                  </m:radPr>
                  <m:deg/>
                  <m:e>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2</m:t>
                    </m:r>
                    <m:sSup>
                      <m:e>
                        <m:r>
                          <a:rPr xmlns:a="http://schemas.openxmlformats.org/drawingml/2006/main" sz="2200" i="1">
                            <a:solidFill>
                              <a:srgbClr val="000000"/>
                            </a:solidFill>
                            <a:latin typeface="Cambria Math" panose="02040503050406030204" pitchFamily="18" charset="0"/>
                          </a:rPr>
                          <m:t>z</m:t>
                        </m:r>
                      </m:e>
                      <m:sup>
                        <m:r>
                          <a:rPr xmlns:a="http://schemas.openxmlformats.org/drawingml/2006/main" sz="2200" i="1">
                            <a:solidFill>
                              <a:srgbClr val="000000"/>
                            </a:solidFill>
                            <a:latin typeface="Cambria Math" panose="02040503050406030204" pitchFamily="18" charset="0"/>
                          </a:rPr>
                          <m:t>2</m:t>
                        </m:r>
                      </m:sup>
                    </m:sSup>
                    <m:sSup>
                      <m:e>
                        <m:r>
                          <a:rPr xmlns:a="http://schemas.openxmlformats.org/drawingml/2006/main" sz="2200" i="1">
                            <a:solidFill>
                              <a:srgbClr val="000000"/>
                            </a:solidFill>
                            <a:latin typeface="Cambria Math" panose="02040503050406030204" pitchFamily="18" charset="0"/>
                          </a:rPr>
                          <m:t>e</m:t>
                        </m:r>
                      </m:e>
                      <m:sup>
                        <m:r>
                          <a:rPr xmlns:a="http://schemas.openxmlformats.org/drawingml/2006/main" sz="2200" i="1">
                            <a:solidFill>
                              <a:srgbClr val="000000"/>
                            </a:solidFill>
                            <a:latin typeface="Cambria Math" panose="02040503050406030204" pitchFamily="18" charset="0"/>
                          </a:rPr>
                          <m:t>2</m:t>
                        </m:r>
                      </m:sup>
                    </m:sSup>
                    <m:sSub>
                      <m:e>
                        <m:r>
                          <a:rPr xmlns:a="http://schemas.openxmlformats.org/drawingml/2006/main" sz="2200" i="1">
                            <a:solidFill>
                              <a:srgbClr val="000000"/>
                            </a:solidFill>
                            <a:latin typeface="Cambria Math" panose="02040503050406030204" pitchFamily="18" charset="0"/>
                          </a:rPr>
                          <m:t>C</m:t>
                        </m:r>
                      </m:e>
                      <m:sub>
                        <m:r>
                          <a:rPr xmlns:a="http://schemas.openxmlformats.org/drawingml/2006/main" sz="2200" i="1">
                            <a:solidFill>
                              <a:srgbClr val="000000"/>
                            </a:solidFill>
                            <a:latin typeface="Cambria Math" panose="02040503050406030204" pitchFamily="18" charset="0"/>
                          </a:rPr>
                          <m:t>o</m:t>
                        </m:r>
                      </m:sub>
                    </m:sSub>
                    <m:sSub>
                      <m:e>
                        <m:r>
                          <a:rPr xmlns:a="http://schemas.openxmlformats.org/drawingml/2006/main" sz="2200" i="1">
                            <a:solidFill>
                              <a:srgbClr val="000000"/>
                            </a:solidFill>
                            <a:latin typeface="Cambria Math" panose="02040503050406030204" pitchFamily="18" charset="0"/>
                          </a:rPr>
                          <m:t>e</m:t>
                        </m:r>
                      </m:e>
                      <m:sub>
                        <m:r>
                          <a:rPr xmlns:a="http://schemas.openxmlformats.org/drawingml/2006/main" sz="2200" i="1">
                            <a:solidFill>
                              <a:srgbClr val="000000"/>
                            </a:solidFill>
                            <a:latin typeface="Cambria Math" panose="02040503050406030204" pitchFamily="18" charset="0"/>
                          </a:rPr>
                          <m:t>r</m:t>
                        </m:r>
                      </m:sub>
                    </m:sSub>
                    <m:sSub>
                      <m:e>
                        <m:r>
                          <a:rPr xmlns:a="http://schemas.openxmlformats.org/drawingml/2006/main" sz="2200" i="1">
                            <a:solidFill>
                              <a:srgbClr val="000000"/>
                            </a:solidFill>
                            <a:latin typeface="Cambria Math" panose="02040503050406030204" pitchFamily="18" charset="0"/>
                          </a:rPr>
                          <m:t>e</m:t>
                        </m:r>
                      </m:e>
                      <m:sub>
                        <m:r>
                          <a:rPr xmlns:a="http://schemas.openxmlformats.org/drawingml/2006/main" sz="2200" i="1">
                            <a:solidFill>
                              <a:srgbClr val="000000"/>
                            </a:solidFill>
                            <a:latin typeface="Cambria Math" panose="02040503050406030204" pitchFamily="18" charset="0"/>
                          </a:rPr>
                          <m:t>o</m:t>
                        </m:r>
                      </m:sub>
                    </m:sSub>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k</m:t>
                    </m:r>
                    <m:r>
                      <a:rPr xmlns:a="http://schemas.openxmlformats.org/drawingml/2006/main" sz="2200" i="1">
                        <a:solidFill>
                          <a:srgbClr val="000000"/>
                        </a:solidFill>
                        <a:latin typeface="Cambria Math" panose="02040503050406030204" pitchFamily="18" charset="0"/>
                      </a:rPr>
                      <m:t>T</m:t>
                    </m:r>
                    <m:r>
                      <a:rPr xmlns:a="http://schemas.openxmlformats.org/drawingml/2006/main" sz="2200" i="1">
                        <a:solidFill>
                          <a:srgbClr val="000000"/>
                        </a:solidFill>
                        <a:latin typeface="Cambria Math" panose="02040503050406030204" pitchFamily="18" charset="0"/>
                      </a:rPr>
                      <m:t>)</m:t>
                    </m:r>
                  </m:e>
                </m:rad>
                <m:r>
                  <a:rPr xmlns:a="http://schemas.openxmlformats.org/drawingml/2006/main" sz="2200" i="1">
                    <a:solidFill>
                      <a:srgbClr val="000000"/>
                    </a:solidFill>
                    <a:latin typeface="Cambria Math" panose="02040503050406030204" pitchFamily="18" charset="0"/>
                  </a:rPr>
                  <m:t>c</m:t>
                </m:r>
                <m:r>
                  <a:rPr xmlns:a="http://schemas.openxmlformats.org/drawingml/2006/main" sz="2200" i="1">
                    <a:solidFill>
                      <a:srgbClr val="000000"/>
                    </a:solidFill>
                    <a:latin typeface="Cambria Math" panose="02040503050406030204" pitchFamily="18" charset="0"/>
                  </a:rPr>
                  <m:t>o</m:t>
                </m:r>
                <m:r>
                  <a:rPr xmlns:a="http://schemas.openxmlformats.org/drawingml/2006/main" sz="2200" i="1">
                    <a:solidFill>
                      <a:srgbClr val="000000"/>
                    </a:solidFill>
                    <a:latin typeface="Cambria Math" panose="02040503050406030204" pitchFamily="18" charset="0"/>
                  </a:rPr>
                  <m:t>s</m:t>
                </m:r>
                <m:r>
                  <a:rPr xmlns:a="http://schemas.openxmlformats.org/drawingml/2006/main" sz="2200" i="1">
                    <a:solidFill>
                      <a:srgbClr val="000000"/>
                    </a:solidFill>
                    <a:latin typeface="Cambria Math" panose="02040503050406030204" pitchFamily="18" charset="0"/>
                  </a:rPr>
                  <m:t>h</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z</m:t>
                </m:r>
                <m:r>
                  <a:rPr xmlns:a="http://schemas.openxmlformats.org/drawingml/2006/main" sz="2200" i="1">
                    <a:solidFill>
                      <a:srgbClr val="000000"/>
                    </a:solidFill>
                    <a:latin typeface="Cambria Math" panose="02040503050406030204" pitchFamily="18" charset="0"/>
                  </a:rPr>
                  <m:t>e</m:t>
                </m:r>
                <m:sSub>
                  <m:e>
                    <m:r>
                      <a:rPr xmlns:a="http://schemas.openxmlformats.org/drawingml/2006/main" sz="2200" i="1">
                        <a:solidFill>
                          <a:srgbClr val="000000"/>
                        </a:solidFill>
                        <a:latin typeface="Cambria Math" panose="02040503050406030204" pitchFamily="18" charset="0"/>
                      </a:rPr>
                      <m:t>V</m:t>
                    </m:r>
                  </m:e>
                  <m:sub>
                    <m:r>
                      <a:rPr xmlns:a="http://schemas.openxmlformats.org/drawingml/2006/main" sz="2200" i="1">
                        <a:solidFill>
                          <a:srgbClr val="000000"/>
                        </a:solidFill>
                        <a:latin typeface="Cambria Math" panose="02040503050406030204" pitchFamily="18" charset="0"/>
                      </a:rPr>
                      <m:t>z</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t</m:t>
                    </m:r>
                    <m:r>
                      <a:rPr xmlns:a="http://schemas.openxmlformats.org/drawingml/2006/main" sz="2200" i="1">
                        <a:solidFill>
                          <a:srgbClr val="000000"/>
                        </a:solidFill>
                        <a:latin typeface="Cambria Math" panose="02040503050406030204" pitchFamily="18" charset="0"/>
                      </a:rPr>
                      <m:t>a</m:t>
                    </m:r>
                  </m:sub>
                </m:sSub>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2</m:t>
                </m:r>
                <m:r>
                  <a:rPr xmlns:a="http://schemas.openxmlformats.org/drawingml/2006/main" sz="2200" i="1">
                    <a:solidFill>
                      <a:srgbClr val="000000"/>
                    </a:solidFill>
                    <a:latin typeface="Cambria Math" panose="02040503050406030204" pitchFamily="18" charset="0"/>
                  </a:rPr>
                  <m:t>k</m:t>
                </m:r>
                <m:r>
                  <a:rPr xmlns:a="http://schemas.openxmlformats.org/drawingml/2006/main" sz="2200" i="1">
                    <a:solidFill>
                      <a:srgbClr val="000000"/>
                    </a:solidFill>
                    <a:latin typeface="Cambria Math" panose="02040503050406030204" pitchFamily="18" charset="0"/>
                  </a:rPr>
                  <m:t>T</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m:t>
                </m:r>
              </m:oMath>
            </m:oMathPara>
          </a14:m>
          <a:endParaRPr sz="2200">
            <a:solidFill>
              <a:srgbClr val="000000"/>
            </a:solidFill>
          </a:endParaRPr>
        </a:p>
      </xdr:txBody>
    </xdr:sp>
    <xdr:clientData/>
  </xdr:twoCellAnchor>
  <xdr:twoCellAnchor>
    <xdr:from>
      <xdr:col>7</xdr:col>
      <xdr:colOff>138431</xdr:colOff>
      <xdr:row>7</xdr:row>
      <xdr:rowOff>198882</xdr:rowOff>
    </xdr:from>
    <xdr:to>
      <xdr:col>12</xdr:col>
      <xdr:colOff>1196491</xdr:colOff>
      <xdr:row>8</xdr:row>
      <xdr:rowOff>246189</xdr:rowOff>
    </xdr:to>
    <xdr:sp>
      <xdr:nvSpPr>
        <xdr:cNvPr id="11" name="Shape 11"/>
        <xdr:cNvSpPr txBox="1"/>
      </xdr:nvSpPr>
      <xdr:spPr>
        <a:xfrm>
          <a:off x="10527031" y="2098167"/>
          <a:ext cx="7281061" cy="301943"/>
        </a:xfrm>
        <a:prstGeom prst="rect">
          <a:avLst/>
        </a:prstGeom>
        <a:noFill/>
        <a:ln w="12700" cap="flat">
          <a:solidFill>
            <a:srgbClr val="000000"/>
          </a:solidFill>
          <a:prstDash val="solid"/>
          <a:miter lim="400000"/>
        </a:ln>
        <a:effectLst/>
      </xdr:spPr>
      <xdr:txBody>
        <a:bodyPr wrap="none" lIns="0" tIns="0" rIns="0" bIns="0">
          <a:spAutoFit/>
        </a:bodyPr>
        <a:lstStyle/>
        <a:p>
          <a:pPr/>
          <a14:m>
            <m:oMathPara>
              <m:oMathParaPr>
                <m:jc m:val="centerGroup"/>
              </m:oMathParaPr>
              <m:oMath>
                <m:sSub>
                  <m:e>
                    <m:r>
                      <a:rPr xmlns:a="http://schemas.openxmlformats.org/drawingml/2006/main" sz="2200" i="1">
                        <a:solidFill>
                          <a:srgbClr val="000000"/>
                        </a:solidFill>
                        <a:latin typeface="Cambria Math" panose="02040503050406030204" pitchFamily="18" charset="0"/>
                      </a:rPr>
                      <m:t>C</m:t>
                    </m:r>
                  </m:e>
                  <m:sub>
                    <m:r>
                      <a:rPr xmlns:a="http://schemas.openxmlformats.org/drawingml/2006/main" sz="2200" i="1">
                        <a:solidFill>
                          <a:srgbClr val="000000"/>
                        </a:solidFill>
                        <a:latin typeface="Cambria Math" panose="02040503050406030204" pitchFamily="18" charset="0"/>
                      </a:rPr>
                      <m:t>C</m:t>
                    </m:r>
                    <m:r>
                      <a:rPr xmlns:a="http://schemas.openxmlformats.org/drawingml/2006/main" sz="2200" i="1">
                        <a:solidFill>
                          <a:srgbClr val="000000"/>
                        </a:solidFill>
                        <a:latin typeface="Cambria Math" panose="02040503050406030204" pitchFamily="18" charset="0"/>
                      </a:rPr>
                      <m:t>a</m:t>
                    </m:r>
                    <m:r>
                      <a:rPr xmlns:a="http://schemas.openxmlformats.org/drawingml/2006/main" sz="2200" i="1">
                        <a:solidFill>
                          <a:srgbClr val="000000"/>
                        </a:solidFill>
                        <a:latin typeface="Cambria Math" panose="02040503050406030204" pitchFamily="18" charset="0"/>
                      </a:rPr>
                      <m:t>p</m:t>
                    </m:r>
                    <m:r>
                      <a:rPr xmlns:a="http://schemas.openxmlformats.org/drawingml/2006/main" sz="2200" i="1">
                        <a:solidFill>
                          <a:srgbClr val="000000"/>
                        </a:solidFill>
                        <a:latin typeface="Cambria Math" panose="02040503050406030204" pitchFamily="18" charset="0"/>
                      </a:rPr>
                      <m:t>a</m:t>
                    </m:r>
                    <m:r>
                      <a:rPr xmlns:a="http://schemas.openxmlformats.org/drawingml/2006/main" sz="2200" i="1">
                        <a:solidFill>
                          <a:srgbClr val="000000"/>
                        </a:solidFill>
                        <a:latin typeface="Cambria Math" panose="02040503050406030204" pitchFamily="18" charset="0"/>
                      </a:rPr>
                      <m:t>c</m:t>
                    </m:r>
                    <m:r>
                      <a:rPr xmlns:a="http://schemas.openxmlformats.org/drawingml/2006/main" sz="2200" i="1">
                        <a:solidFill>
                          <a:srgbClr val="000000"/>
                        </a:solidFill>
                        <a:latin typeface="Cambria Math" panose="02040503050406030204" pitchFamily="18" charset="0"/>
                      </a:rPr>
                      <m:t>i</m:t>
                    </m:r>
                    <m:r>
                      <a:rPr xmlns:a="http://schemas.openxmlformats.org/drawingml/2006/main" sz="2200" i="1">
                        <a:solidFill>
                          <a:srgbClr val="000000"/>
                        </a:solidFill>
                        <a:latin typeface="Cambria Math" panose="02040503050406030204" pitchFamily="18" charset="0"/>
                      </a:rPr>
                      <m:t>t</m:t>
                    </m:r>
                    <m:r>
                      <a:rPr xmlns:a="http://schemas.openxmlformats.org/drawingml/2006/main" sz="2200" i="1">
                        <a:solidFill>
                          <a:srgbClr val="000000"/>
                        </a:solidFill>
                        <a:latin typeface="Cambria Math" panose="02040503050406030204" pitchFamily="18" charset="0"/>
                      </a:rPr>
                      <m:t>a</m:t>
                    </m:r>
                    <m:r>
                      <a:rPr xmlns:a="http://schemas.openxmlformats.org/drawingml/2006/main" sz="2200" i="1">
                        <a:solidFill>
                          <a:srgbClr val="000000"/>
                        </a:solidFill>
                        <a:latin typeface="Cambria Math" panose="02040503050406030204" pitchFamily="18" charset="0"/>
                      </a:rPr>
                      <m:t>n</m:t>
                    </m:r>
                    <m:r>
                      <a:rPr xmlns:a="http://schemas.openxmlformats.org/drawingml/2006/main" sz="2200" i="1">
                        <a:solidFill>
                          <a:srgbClr val="000000"/>
                        </a:solidFill>
                        <a:latin typeface="Cambria Math" panose="02040503050406030204" pitchFamily="18" charset="0"/>
                      </a:rPr>
                      <m:t>c</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o</m:t>
                    </m:r>
                    <m:r>
                      <a:rPr xmlns:a="http://schemas.openxmlformats.org/drawingml/2006/main" sz="2200" i="1">
                        <a:solidFill>
                          <a:srgbClr val="000000"/>
                        </a:solidFill>
                        <a:latin typeface="Cambria Math" panose="02040503050406030204" pitchFamily="18" charset="0"/>
                      </a:rPr>
                      <m:t>f</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D</m:t>
                    </m:r>
                    <m:r>
                      <a:rPr xmlns:a="http://schemas.openxmlformats.org/drawingml/2006/main" sz="2200" i="1">
                        <a:solidFill>
                          <a:srgbClr val="000000"/>
                        </a:solidFill>
                        <a:latin typeface="Cambria Math" panose="02040503050406030204" pitchFamily="18" charset="0"/>
                      </a:rPr>
                      <m:t>o</m:t>
                    </m:r>
                    <m:r>
                      <a:rPr xmlns:a="http://schemas.openxmlformats.org/drawingml/2006/main" sz="2200" i="1">
                        <a:solidFill>
                          <a:srgbClr val="000000"/>
                        </a:solidFill>
                        <a:latin typeface="Cambria Math" panose="02040503050406030204" pitchFamily="18" charset="0"/>
                      </a:rPr>
                      <m:t>u</m:t>
                    </m:r>
                    <m:r>
                      <a:rPr xmlns:a="http://schemas.openxmlformats.org/drawingml/2006/main" sz="2200" i="1">
                        <a:solidFill>
                          <a:srgbClr val="000000"/>
                        </a:solidFill>
                        <a:latin typeface="Cambria Math" panose="02040503050406030204" pitchFamily="18" charset="0"/>
                      </a:rPr>
                      <m:t>b</m:t>
                    </m:r>
                    <m:r>
                      <a:rPr xmlns:a="http://schemas.openxmlformats.org/drawingml/2006/main" sz="2200" i="1">
                        <a:solidFill>
                          <a:srgbClr val="000000"/>
                        </a:solidFill>
                        <a:latin typeface="Cambria Math" panose="02040503050406030204" pitchFamily="18" charset="0"/>
                      </a:rPr>
                      <m:t>l</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L</m:t>
                    </m:r>
                    <m:r>
                      <a:rPr xmlns:a="http://schemas.openxmlformats.org/drawingml/2006/main" sz="2200" i="1">
                        <a:solidFill>
                          <a:srgbClr val="000000"/>
                        </a:solidFill>
                        <a:latin typeface="Cambria Math" panose="02040503050406030204" pitchFamily="18" charset="0"/>
                      </a:rPr>
                      <m:t>a</m:t>
                    </m:r>
                    <m:r>
                      <a:rPr xmlns:a="http://schemas.openxmlformats.org/drawingml/2006/main" sz="2200" i="1">
                        <a:solidFill>
                          <a:srgbClr val="000000"/>
                        </a:solidFill>
                        <a:latin typeface="Cambria Math" panose="02040503050406030204" pitchFamily="18" charset="0"/>
                      </a:rPr>
                      <m:t>y</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r</m:t>
                    </m:r>
                  </m:sub>
                </m:sSub>
                <m:r>
                  <a:rPr xmlns:a="http://schemas.openxmlformats.org/drawingml/2006/main" sz="2200" i="1">
                    <a:solidFill>
                      <a:srgbClr val="000000"/>
                    </a:solidFill>
                    <a:latin typeface="Cambria Math" panose="02040503050406030204" pitchFamily="18" charset="0"/>
                  </a:rPr>
                  <m:t>=</m:t>
                </m:r>
                <m:sSub>
                  <m:e>
                    <m:r>
                      <a:rPr xmlns:a="http://schemas.openxmlformats.org/drawingml/2006/main" sz="2200" i="1">
                        <a:solidFill>
                          <a:srgbClr val="000000"/>
                        </a:solidFill>
                        <a:latin typeface="Cambria Math" panose="02040503050406030204" pitchFamily="18" charset="0"/>
                      </a:rPr>
                      <m:t>e</m:t>
                    </m:r>
                  </m:e>
                  <m:sub>
                    <m:r>
                      <a:rPr xmlns:a="http://schemas.openxmlformats.org/drawingml/2006/main" sz="2200" i="1">
                        <a:solidFill>
                          <a:srgbClr val="000000"/>
                        </a:solidFill>
                        <a:latin typeface="Cambria Math" panose="02040503050406030204" pitchFamily="18" charset="0"/>
                      </a:rPr>
                      <m:t>p</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r</m:t>
                    </m:r>
                    <m:r>
                      <a:rPr xmlns:a="http://schemas.openxmlformats.org/drawingml/2006/main" sz="2200" i="1">
                        <a:solidFill>
                          <a:srgbClr val="000000"/>
                        </a:solidFill>
                        <a:latin typeface="Cambria Math" panose="02040503050406030204" pitchFamily="18" charset="0"/>
                      </a:rPr>
                      <m:t>m</m:t>
                    </m:r>
                    <m:r>
                      <a:rPr xmlns:a="http://schemas.openxmlformats.org/drawingml/2006/main" sz="2200" i="1">
                        <a:solidFill>
                          <a:srgbClr val="000000"/>
                        </a:solidFill>
                        <a:latin typeface="Cambria Math" panose="02040503050406030204" pitchFamily="18" charset="0"/>
                      </a:rPr>
                      <m:t>i</m:t>
                    </m:r>
                    <m:r>
                      <a:rPr xmlns:a="http://schemas.openxmlformats.org/drawingml/2006/main" sz="2200" i="1">
                        <a:solidFill>
                          <a:srgbClr val="000000"/>
                        </a:solidFill>
                        <a:latin typeface="Cambria Math" panose="02040503050406030204" pitchFamily="18" charset="0"/>
                      </a:rPr>
                      <m:t>t</m:t>
                    </m:r>
                    <m:r>
                      <a:rPr xmlns:a="http://schemas.openxmlformats.org/drawingml/2006/main" sz="2200" i="1">
                        <a:solidFill>
                          <a:srgbClr val="000000"/>
                        </a:solidFill>
                        <a:latin typeface="Cambria Math" panose="02040503050406030204" pitchFamily="18" charset="0"/>
                      </a:rPr>
                      <m:t>i</m:t>
                    </m:r>
                    <m:r>
                      <a:rPr xmlns:a="http://schemas.openxmlformats.org/drawingml/2006/main" sz="2200" i="1">
                        <a:solidFill>
                          <a:srgbClr val="000000"/>
                        </a:solidFill>
                        <a:latin typeface="Cambria Math" panose="02040503050406030204" pitchFamily="18" charset="0"/>
                      </a:rPr>
                      <m:t>v</m:t>
                    </m:r>
                    <m:r>
                      <a:rPr xmlns:a="http://schemas.openxmlformats.org/drawingml/2006/main" sz="2200" i="1">
                        <a:solidFill>
                          <a:srgbClr val="000000"/>
                        </a:solidFill>
                        <a:latin typeface="Cambria Math" panose="02040503050406030204" pitchFamily="18" charset="0"/>
                      </a:rPr>
                      <m:t>i</m:t>
                    </m:r>
                    <m:r>
                      <a:rPr xmlns:a="http://schemas.openxmlformats.org/drawingml/2006/main" sz="2200" i="1">
                        <a:solidFill>
                          <a:srgbClr val="000000"/>
                        </a:solidFill>
                        <a:latin typeface="Cambria Math" panose="02040503050406030204" pitchFamily="18" charset="0"/>
                      </a:rPr>
                      <m:t>t</m:t>
                    </m:r>
                    <m:r>
                      <a:rPr xmlns:a="http://schemas.openxmlformats.org/drawingml/2006/main" sz="2200" i="1">
                        <a:solidFill>
                          <a:srgbClr val="000000"/>
                        </a:solidFill>
                        <a:latin typeface="Cambria Math" panose="02040503050406030204" pitchFamily="18" charset="0"/>
                      </a:rPr>
                      <m:t>y</m:t>
                    </m:r>
                  </m:sub>
                </m:sSub>
                <m:r>
                  <a:rPr xmlns:a="http://schemas.openxmlformats.org/drawingml/2006/main" sz="2200" i="1">
                    <a:solidFill>
                      <a:srgbClr val="000000"/>
                    </a:solidFill>
                    <a:latin typeface="Cambria Math" panose="02040503050406030204" pitchFamily="18" charset="0"/>
                  </a:rPr>
                  <m:t>/</m:t>
                </m:r>
                <m:sSub>
                  <m:e>
                    <m:r>
                      <a:rPr xmlns:a="http://schemas.openxmlformats.org/drawingml/2006/main" sz="2200" i="1">
                        <a:solidFill>
                          <a:srgbClr val="000000"/>
                        </a:solidFill>
                        <a:latin typeface="Cambria Math" panose="02040503050406030204" pitchFamily="18" charset="0"/>
                      </a:rPr>
                      <m:t>d</m:t>
                    </m:r>
                  </m:e>
                  <m:sub>
                    <m:r>
                      <a:rPr xmlns:a="http://schemas.openxmlformats.org/drawingml/2006/main" sz="2200" i="1">
                        <a:solidFill>
                          <a:srgbClr val="000000"/>
                        </a:solidFill>
                        <a:latin typeface="Cambria Math" panose="02040503050406030204" pitchFamily="18" charset="0"/>
                      </a:rPr>
                      <m:t>l</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n</m:t>
                    </m:r>
                    <m:r>
                      <a:rPr xmlns:a="http://schemas.openxmlformats.org/drawingml/2006/main" sz="2200" i="1">
                        <a:solidFill>
                          <a:srgbClr val="000000"/>
                        </a:solidFill>
                        <a:latin typeface="Cambria Math" panose="02040503050406030204" pitchFamily="18" charset="0"/>
                      </a:rPr>
                      <m:t>g</m:t>
                    </m:r>
                    <m:r>
                      <a:rPr xmlns:a="http://schemas.openxmlformats.org/drawingml/2006/main" sz="2200" i="1">
                        <a:solidFill>
                          <a:srgbClr val="000000"/>
                        </a:solidFill>
                        <a:latin typeface="Cambria Math" panose="02040503050406030204" pitchFamily="18" charset="0"/>
                      </a:rPr>
                      <m:t>t</m:t>
                    </m:r>
                    <m:r>
                      <a:rPr xmlns:a="http://schemas.openxmlformats.org/drawingml/2006/main" sz="2200" i="1">
                        <a:solidFill>
                          <a:srgbClr val="000000"/>
                        </a:solidFill>
                        <a:latin typeface="Cambria Math" panose="02040503050406030204" pitchFamily="18" charset="0"/>
                      </a:rPr>
                      <m:t>h</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o</m:t>
                    </m:r>
                    <m:r>
                      <a:rPr xmlns:a="http://schemas.openxmlformats.org/drawingml/2006/main" sz="2200" i="1">
                        <a:solidFill>
                          <a:srgbClr val="000000"/>
                        </a:solidFill>
                        <a:latin typeface="Cambria Math" panose="02040503050406030204" pitchFamily="18" charset="0"/>
                      </a:rPr>
                      <m:t>f</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l</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c</m:t>
                    </m:r>
                    <m:r>
                      <a:rPr xmlns:a="http://schemas.openxmlformats.org/drawingml/2006/main" sz="2200" i="1">
                        <a:solidFill>
                          <a:srgbClr val="000000"/>
                        </a:solidFill>
                        <a:latin typeface="Cambria Math" panose="02040503050406030204" pitchFamily="18" charset="0"/>
                      </a:rPr>
                      <m:t>t</m:t>
                    </m:r>
                    <m:r>
                      <a:rPr xmlns:a="http://schemas.openxmlformats.org/drawingml/2006/main" sz="2200" i="1">
                        <a:solidFill>
                          <a:srgbClr val="000000"/>
                        </a:solidFill>
                        <a:latin typeface="Cambria Math" panose="02040503050406030204" pitchFamily="18" charset="0"/>
                      </a:rPr>
                      <m:t>r</m:t>
                    </m:r>
                    <m:r>
                      <a:rPr xmlns:a="http://schemas.openxmlformats.org/drawingml/2006/main" sz="2200" i="1">
                        <a:solidFill>
                          <a:srgbClr val="000000"/>
                        </a:solidFill>
                        <a:latin typeface="Cambria Math" panose="02040503050406030204" pitchFamily="18" charset="0"/>
                      </a:rPr>
                      <m:t>i</m:t>
                    </m:r>
                    <m:r>
                      <a:rPr xmlns:a="http://schemas.openxmlformats.org/drawingml/2006/main" sz="2200" i="1">
                        <a:solidFill>
                          <a:srgbClr val="000000"/>
                        </a:solidFill>
                        <a:latin typeface="Cambria Math" panose="02040503050406030204" pitchFamily="18" charset="0"/>
                      </a:rPr>
                      <m:t>c</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D</m:t>
                    </m:r>
                    <m:r>
                      <a:rPr xmlns:a="http://schemas.openxmlformats.org/drawingml/2006/main" sz="2200" i="1">
                        <a:solidFill>
                          <a:srgbClr val="000000"/>
                        </a:solidFill>
                        <a:latin typeface="Cambria Math" panose="02040503050406030204" pitchFamily="18" charset="0"/>
                      </a:rPr>
                      <m:t>o</m:t>
                    </m:r>
                    <m:r>
                      <a:rPr xmlns:a="http://schemas.openxmlformats.org/drawingml/2006/main" sz="2200" i="1">
                        <a:solidFill>
                          <a:srgbClr val="000000"/>
                        </a:solidFill>
                        <a:latin typeface="Cambria Math" panose="02040503050406030204" pitchFamily="18" charset="0"/>
                      </a:rPr>
                      <m:t>u</m:t>
                    </m:r>
                    <m:r>
                      <a:rPr xmlns:a="http://schemas.openxmlformats.org/drawingml/2006/main" sz="2200" i="1">
                        <a:solidFill>
                          <a:srgbClr val="000000"/>
                        </a:solidFill>
                        <a:latin typeface="Cambria Math" panose="02040503050406030204" pitchFamily="18" charset="0"/>
                      </a:rPr>
                      <m:t>b</m:t>
                    </m:r>
                    <m:r>
                      <a:rPr xmlns:a="http://schemas.openxmlformats.org/drawingml/2006/main" sz="2200" i="1">
                        <a:solidFill>
                          <a:srgbClr val="000000"/>
                        </a:solidFill>
                        <a:latin typeface="Cambria Math" panose="02040503050406030204" pitchFamily="18" charset="0"/>
                      </a:rPr>
                      <m:t>l</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m:t>
                    </m:r>
                    <m:r>
                      <a:rPr xmlns:a="http://schemas.openxmlformats.org/drawingml/2006/main" sz="2200" i="1">
                        <a:solidFill>
                          <a:srgbClr val="000000"/>
                        </a:solidFill>
                        <a:latin typeface="Cambria Math" panose="02040503050406030204" pitchFamily="18" charset="0"/>
                      </a:rPr>
                      <m:t>L</m:t>
                    </m:r>
                    <m:r>
                      <a:rPr xmlns:a="http://schemas.openxmlformats.org/drawingml/2006/main" sz="2200" i="1">
                        <a:solidFill>
                          <a:srgbClr val="000000"/>
                        </a:solidFill>
                        <a:latin typeface="Cambria Math" panose="02040503050406030204" pitchFamily="18" charset="0"/>
                      </a:rPr>
                      <m:t>a</m:t>
                    </m:r>
                    <m:r>
                      <a:rPr xmlns:a="http://schemas.openxmlformats.org/drawingml/2006/main" sz="2200" i="1">
                        <a:solidFill>
                          <a:srgbClr val="000000"/>
                        </a:solidFill>
                        <a:latin typeface="Cambria Math" panose="02040503050406030204" pitchFamily="18" charset="0"/>
                      </a:rPr>
                      <m:t>y</m:t>
                    </m:r>
                    <m:r>
                      <a:rPr xmlns:a="http://schemas.openxmlformats.org/drawingml/2006/main" sz="2200" i="1">
                        <a:solidFill>
                          <a:srgbClr val="000000"/>
                        </a:solidFill>
                        <a:latin typeface="Cambria Math" panose="02040503050406030204" pitchFamily="18" charset="0"/>
                      </a:rPr>
                      <m:t>e</m:t>
                    </m:r>
                    <m:r>
                      <a:rPr xmlns:a="http://schemas.openxmlformats.org/drawingml/2006/main" sz="2200" i="1">
                        <a:solidFill>
                          <a:srgbClr val="000000"/>
                        </a:solidFill>
                        <a:latin typeface="Cambria Math" panose="02040503050406030204" pitchFamily="18" charset="0"/>
                      </a:rPr>
                      <m:t>r</m:t>
                    </m:r>
                  </m:sub>
                </m:sSub>
              </m:oMath>
            </m:oMathPara>
          </a14:m>
          <a:endParaRPr sz="2200">
            <a:solidFill>
              <a:srgbClr val="000000"/>
            </a:solidFill>
          </a:endParaRPr>
        </a:p>
      </xdr:txBody>
    </xdr:sp>
    <xdr:clientData/>
  </xdr:twoCellAnchor>
  <xdr:twoCellAnchor>
    <xdr:from>
      <xdr:col>7</xdr:col>
      <xdr:colOff>132081</xdr:colOff>
      <xdr:row>11</xdr:row>
      <xdr:rowOff>184657</xdr:rowOff>
    </xdr:from>
    <xdr:to>
      <xdr:col>11</xdr:col>
      <xdr:colOff>970708</xdr:colOff>
      <xdr:row>13</xdr:row>
      <xdr:rowOff>124205</xdr:rowOff>
    </xdr:to>
    <xdr:sp>
      <xdr:nvSpPr>
        <xdr:cNvPr id="12" name="Shape 12"/>
        <xdr:cNvSpPr txBox="1"/>
      </xdr:nvSpPr>
      <xdr:spPr>
        <a:xfrm>
          <a:off x="10520681" y="3102482"/>
          <a:ext cx="5817028" cy="469139"/>
        </a:xfrm>
        <a:prstGeom prst="rect">
          <a:avLst/>
        </a:prstGeom>
        <a:noFill/>
        <a:ln w="12700" cap="flat">
          <a:noFill/>
          <a:miter lim="400000"/>
        </a:ln>
        <a:effectLst/>
      </xdr:spPr>
      <xdr:txBody>
        <a:bodyPr wrap="none" lIns="0" tIns="0" rIns="0" bIns="0">
          <a:spAutoFit/>
        </a:bodyPr>
        <a:lstStyle/>
        <a:p>
          <a:pPr/>
          <a14:m>
            <m:oMathPara>
              <m:oMathParaPr>
                <m:jc m:val="centerGroup"/>
              </m:oMathParaPr>
              <m:oMath>
                <m:sSub>
                  <m:e>
                    <m:r>
                      <a:rPr xmlns:a="http://schemas.openxmlformats.org/drawingml/2006/main" sz="2000" i="1">
                        <a:solidFill>
                          <a:srgbClr val="000000"/>
                        </a:solidFill>
                        <a:latin typeface="Cambria Math" panose="02040503050406030204" pitchFamily="18" charset="0"/>
                      </a:rPr>
                      <m:t>d</m:t>
                    </m:r>
                  </m:e>
                  <m:sub>
                    <m:r>
                      <a:rPr xmlns:a="http://schemas.openxmlformats.org/drawingml/2006/main" sz="2000" i="1">
                        <a:solidFill>
                          <a:srgbClr val="000000"/>
                        </a:solidFill>
                        <a:latin typeface="Cambria Math" panose="02040503050406030204" pitchFamily="18" charset="0"/>
                      </a:rPr>
                      <m:t>l</m:t>
                    </m:r>
                    <m:r>
                      <a:rPr xmlns:a="http://schemas.openxmlformats.org/drawingml/2006/main" sz="2000" i="1">
                        <a:solidFill>
                          <a:srgbClr val="000000"/>
                        </a:solidFill>
                        <a:latin typeface="Cambria Math" panose="02040503050406030204" pitchFamily="18" charset="0"/>
                      </a:rPr>
                      <m:t>e</m:t>
                    </m:r>
                    <m:r>
                      <a:rPr xmlns:a="http://schemas.openxmlformats.org/drawingml/2006/main" sz="2000" i="1">
                        <a:solidFill>
                          <a:srgbClr val="000000"/>
                        </a:solidFill>
                        <a:latin typeface="Cambria Math" panose="02040503050406030204" pitchFamily="18" charset="0"/>
                      </a:rPr>
                      <m:t>n</m:t>
                    </m:r>
                    <m:r>
                      <a:rPr xmlns:a="http://schemas.openxmlformats.org/drawingml/2006/main" sz="2000" i="1">
                        <a:solidFill>
                          <a:srgbClr val="000000"/>
                        </a:solidFill>
                        <a:latin typeface="Cambria Math" panose="02040503050406030204" pitchFamily="18" charset="0"/>
                      </a:rPr>
                      <m:t>g</m:t>
                    </m:r>
                    <m:r>
                      <a:rPr xmlns:a="http://schemas.openxmlformats.org/drawingml/2006/main" sz="2000" i="1">
                        <a:solidFill>
                          <a:srgbClr val="000000"/>
                        </a:solidFill>
                        <a:latin typeface="Cambria Math" panose="02040503050406030204" pitchFamily="18" charset="0"/>
                      </a:rPr>
                      <m:t>t</m:t>
                    </m:r>
                    <m:r>
                      <a:rPr xmlns:a="http://schemas.openxmlformats.org/drawingml/2006/main" sz="2000" i="1">
                        <a:solidFill>
                          <a:srgbClr val="000000"/>
                        </a:solidFill>
                        <a:latin typeface="Cambria Math" panose="02040503050406030204" pitchFamily="18" charset="0"/>
                      </a:rPr>
                      <m:t>h</m:t>
                    </m:r>
                    <m:r>
                      <a:rPr xmlns:a="http://schemas.openxmlformats.org/drawingml/2006/main" sz="2000" i="1">
                        <a:solidFill>
                          <a:srgbClr val="000000"/>
                        </a:solidFill>
                        <a:latin typeface="Cambria Math" panose="02040503050406030204" pitchFamily="18" charset="0"/>
                      </a:rPr>
                      <m:t>-</m:t>
                    </m:r>
                    <m:r>
                      <a:rPr xmlns:a="http://schemas.openxmlformats.org/drawingml/2006/main" sz="2000" i="1">
                        <a:solidFill>
                          <a:srgbClr val="000000"/>
                        </a:solidFill>
                        <a:latin typeface="Cambria Math" panose="02040503050406030204" pitchFamily="18" charset="0"/>
                      </a:rPr>
                      <m:t>o</m:t>
                    </m:r>
                    <m:r>
                      <a:rPr xmlns:a="http://schemas.openxmlformats.org/drawingml/2006/main" sz="2000" i="1">
                        <a:solidFill>
                          <a:srgbClr val="000000"/>
                        </a:solidFill>
                        <a:latin typeface="Cambria Math" panose="02040503050406030204" pitchFamily="18" charset="0"/>
                      </a:rPr>
                      <m:t>f</m:t>
                    </m:r>
                    <m:r>
                      <a:rPr xmlns:a="http://schemas.openxmlformats.org/drawingml/2006/main" sz="2000" i="1">
                        <a:solidFill>
                          <a:srgbClr val="000000"/>
                        </a:solidFill>
                        <a:latin typeface="Cambria Math" panose="02040503050406030204" pitchFamily="18" charset="0"/>
                      </a:rPr>
                      <m:t>-</m:t>
                    </m:r>
                    <m:r>
                      <a:rPr xmlns:a="http://schemas.openxmlformats.org/drawingml/2006/main" sz="2000" i="1">
                        <a:solidFill>
                          <a:srgbClr val="000000"/>
                        </a:solidFill>
                        <a:latin typeface="Cambria Math" panose="02040503050406030204" pitchFamily="18" charset="0"/>
                      </a:rPr>
                      <m:t>E</m:t>
                    </m:r>
                    <m:r>
                      <a:rPr xmlns:a="http://schemas.openxmlformats.org/drawingml/2006/main" sz="2000" i="1">
                        <a:solidFill>
                          <a:srgbClr val="000000"/>
                        </a:solidFill>
                        <a:latin typeface="Cambria Math" panose="02040503050406030204" pitchFamily="18" charset="0"/>
                      </a:rPr>
                      <m:t>l</m:t>
                    </m:r>
                    <m:r>
                      <a:rPr xmlns:a="http://schemas.openxmlformats.org/drawingml/2006/main" sz="2000" i="1">
                        <a:solidFill>
                          <a:srgbClr val="000000"/>
                        </a:solidFill>
                        <a:latin typeface="Cambria Math" panose="02040503050406030204" pitchFamily="18" charset="0"/>
                      </a:rPr>
                      <m:t>e</m:t>
                    </m:r>
                    <m:r>
                      <a:rPr xmlns:a="http://schemas.openxmlformats.org/drawingml/2006/main" sz="2000" i="1">
                        <a:solidFill>
                          <a:srgbClr val="000000"/>
                        </a:solidFill>
                        <a:latin typeface="Cambria Math" panose="02040503050406030204" pitchFamily="18" charset="0"/>
                      </a:rPr>
                      <m:t>c</m:t>
                    </m:r>
                    <m:r>
                      <a:rPr xmlns:a="http://schemas.openxmlformats.org/drawingml/2006/main" sz="2000" i="1">
                        <a:solidFill>
                          <a:srgbClr val="000000"/>
                        </a:solidFill>
                        <a:latin typeface="Cambria Math" panose="02040503050406030204" pitchFamily="18" charset="0"/>
                      </a:rPr>
                      <m:t>t</m:t>
                    </m:r>
                    <m:r>
                      <a:rPr xmlns:a="http://schemas.openxmlformats.org/drawingml/2006/main" sz="2000" i="1">
                        <a:solidFill>
                          <a:srgbClr val="000000"/>
                        </a:solidFill>
                        <a:latin typeface="Cambria Math" panose="02040503050406030204" pitchFamily="18" charset="0"/>
                      </a:rPr>
                      <m:t>r</m:t>
                    </m:r>
                    <m:r>
                      <a:rPr xmlns:a="http://schemas.openxmlformats.org/drawingml/2006/main" sz="2000" i="1">
                        <a:solidFill>
                          <a:srgbClr val="000000"/>
                        </a:solidFill>
                        <a:latin typeface="Cambria Math" panose="02040503050406030204" pitchFamily="18" charset="0"/>
                      </a:rPr>
                      <m:t>i</m:t>
                    </m:r>
                    <m:r>
                      <a:rPr xmlns:a="http://schemas.openxmlformats.org/drawingml/2006/main" sz="2000" i="1">
                        <a:solidFill>
                          <a:srgbClr val="000000"/>
                        </a:solidFill>
                        <a:latin typeface="Cambria Math" panose="02040503050406030204" pitchFamily="18" charset="0"/>
                      </a:rPr>
                      <m:t>c</m:t>
                    </m:r>
                    <m:r>
                      <a:rPr xmlns:a="http://schemas.openxmlformats.org/drawingml/2006/main" sz="2000" i="1">
                        <a:solidFill>
                          <a:srgbClr val="000000"/>
                        </a:solidFill>
                        <a:latin typeface="Cambria Math" panose="02040503050406030204" pitchFamily="18" charset="0"/>
                      </a:rPr>
                      <m:t>-</m:t>
                    </m:r>
                    <m:r>
                      <a:rPr xmlns:a="http://schemas.openxmlformats.org/drawingml/2006/main" sz="2000" i="1">
                        <a:solidFill>
                          <a:srgbClr val="000000"/>
                        </a:solidFill>
                        <a:latin typeface="Cambria Math" panose="02040503050406030204" pitchFamily="18" charset="0"/>
                      </a:rPr>
                      <m:t>D</m:t>
                    </m:r>
                    <m:r>
                      <a:rPr xmlns:a="http://schemas.openxmlformats.org/drawingml/2006/main" sz="2000" i="1">
                        <a:solidFill>
                          <a:srgbClr val="000000"/>
                        </a:solidFill>
                        <a:latin typeface="Cambria Math" panose="02040503050406030204" pitchFamily="18" charset="0"/>
                      </a:rPr>
                      <m:t>o</m:t>
                    </m:r>
                    <m:r>
                      <a:rPr xmlns:a="http://schemas.openxmlformats.org/drawingml/2006/main" sz="2000" i="1">
                        <a:solidFill>
                          <a:srgbClr val="000000"/>
                        </a:solidFill>
                        <a:latin typeface="Cambria Math" panose="02040503050406030204" pitchFamily="18" charset="0"/>
                      </a:rPr>
                      <m:t>u</m:t>
                    </m:r>
                    <m:r>
                      <a:rPr xmlns:a="http://schemas.openxmlformats.org/drawingml/2006/main" sz="2000" i="1">
                        <a:solidFill>
                          <a:srgbClr val="000000"/>
                        </a:solidFill>
                        <a:latin typeface="Cambria Math" panose="02040503050406030204" pitchFamily="18" charset="0"/>
                      </a:rPr>
                      <m:t>b</m:t>
                    </m:r>
                    <m:r>
                      <a:rPr xmlns:a="http://schemas.openxmlformats.org/drawingml/2006/main" sz="2000" i="1">
                        <a:solidFill>
                          <a:srgbClr val="000000"/>
                        </a:solidFill>
                        <a:latin typeface="Cambria Math" panose="02040503050406030204" pitchFamily="18" charset="0"/>
                      </a:rPr>
                      <m:t>l</m:t>
                    </m:r>
                    <m:r>
                      <a:rPr xmlns:a="http://schemas.openxmlformats.org/drawingml/2006/main" sz="2000" i="1">
                        <a:solidFill>
                          <a:srgbClr val="000000"/>
                        </a:solidFill>
                        <a:latin typeface="Cambria Math" panose="02040503050406030204" pitchFamily="18" charset="0"/>
                      </a:rPr>
                      <m:t>e</m:t>
                    </m:r>
                    <m:r>
                      <a:rPr xmlns:a="http://schemas.openxmlformats.org/drawingml/2006/main" sz="2000" i="1">
                        <a:solidFill>
                          <a:srgbClr val="000000"/>
                        </a:solidFill>
                        <a:latin typeface="Cambria Math" panose="02040503050406030204" pitchFamily="18" charset="0"/>
                      </a:rPr>
                      <m:t>-</m:t>
                    </m:r>
                    <m:r>
                      <a:rPr xmlns:a="http://schemas.openxmlformats.org/drawingml/2006/main" sz="2000" i="1">
                        <a:solidFill>
                          <a:srgbClr val="000000"/>
                        </a:solidFill>
                        <a:latin typeface="Cambria Math" panose="02040503050406030204" pitchFamily="18" charset="0"/>
                      </a:rPr>
                      <m:t>L</m:t>
                    </m:r>
                    <m:r>
                      <a:rPr xmlns:a="http://schemas.openxmlformats.org/drawingml/2006/main" sz="2000" i="1">
                        <a:solidFill>
                          <a:srgbClr val="000000"/>
                        </a:solidFill>
                        <a:latin typeface="Cambria Math" panose="02040503050406030204" pitchFamily="18" charset="0"/>
                      </a:rPr>
                      <m:t>a</m:t>
                    </m:r>
                    <m:r>
                      <a:rPr xmlns:a="http://schemas.openxmlformats.org/drawingml/2006/main" sz="2000" i="1">
                        <a:solidFill>
                          <a:srgbClr val="000000"/>
                        </a:solidFill>
                        <a:latin typeface="Cambria Math" panose="02040503050406030204" pitchFamily="18" charset="0"/>
                      </a:rPr>
                      <m:t>y</m:t>
                    </m:r>
                    <m:r>
                      <a:rPr xmlns:a="http://schemas.openxmlformats.org/drawingml/2006/main" sz="2000" i="1">
                        <a:solidFill>
                          <a:srgbClr val="000000"/>
                        </a:solidFill>
                        <a:latin typeface="Cambria Math" panose="02040503050406030204" pitchFamily="18" charset="0"/>
                      </a:rPr>
                      <m:t>e</m:t>
                    </m:r>
                    <m:r>
                      <a:rPr xmlns:a="http://schemas.openxmlformats.org/drawingml/2006/main" sz="2000" i="1">
                        <a:solidFill>
                          <a:srgbClr val="000000"/>
                        </a:solidFill>
                        <a:latin typeface="Cambria Math" panose="02040503050406030204" pitchFamily="18" charset="0"/>
                      </a:rPr>
                      <m:t>r</m:t>
                    </m:r>
                  </m:sub>
                </m:sSub>
                <m:r>
                  <a:rPr xmlns:a="http://schemas.openxmlformats.org/drawingml/2006/main" sz="2000" i="1">
                    <a:solidFill>
                      <a:srgbClr val="000000"/>
                    </a:solidFill>
                    <a:latin typeface="Cambria Math" panose="02040503050406030204" pitchFamily="18" charset="0"/>
                  </a:rPr>
                  <m:t>=</m:t>
                </m:r>
                <m:rad>
                  <m:radPr>
                    <m:ctrlPr>
                      <a:rPr xmlns:a="http://schemas.openxmlformats.org/drawingml/2006/main" sz="2000" i="1">
                        <a:solidFill>
                          <a:srgbClr val="000000"/>
                        </a:solidFill>
                        <a:latin typeface="Cambria Math" panose="02040503050406030204" pitchFamily="18" charset="0"/>
                      </a:rPr>
                    </m:ctrlPr>
                    <m:degHide m:val="on"/>
                  </m:radPr>
                  <m:deg/>
                  <m:e>
                    <m:r>
                      <a:rPr xmlns:a="http://schemas.openxmlformats.org/drawingml/2006/main" sz="2000" i="1">
                        <a:solidFill>
                          <a:srgbClr val="000000"/>
                        </a:solidFill>
                        <a:latin typeface="Cambria Math" panose="02040503050406030204" pitchFamily="18" charset="0"/>
                      </a:rPr>
                      <m:t>[</m:t>
                    </m:r>
                    <m:r>
                      <a:rPr xmlns:a="http://schemas.openxmlformats.org/drawingml/2006/main" sz="2000" i="1">
                        <a:solidFill>
                          <a:srgbClr val="000000"/>
                        </a:solidFill>
                        <a:latin typeface="Cambria Math" panose="02040503050406030204" pitchFamily="18" charset="0"/>
                      </a:rPr>
                      <m:t>k</m:t>
                    </m:r>
                    <m:r>
                      <a:rPr xmlns:a="http://schemas.openxmlformats.org/drawingml/2006/main" sz="2000" i="1">
                        <a:solidFill>
                          <a:srgbClr val="000000"/>
                        </a:solidFill>
                        <a:latin typeface="Cambria Math" panose="02040503050406030204" pitchFamily="18" charset="0"/>
                      </a:rPr>
                      <m:t>T</m:t>
                    </m:r>
                    <m:sSub>
                      <m:e>
                        <m:r>
                          <a:rPr xmlns:a="http://schemas.openxmlformats.org/drawingml/2006/main" sz="2000" i="1">
                            <a:solidFill>
                              <a:srgbClr val="000000"/>
                            </a:solidFill>
                            <a:latin typeface="Cambria Math" panose="02040503050406030204" pitchFamily="18" charset="0"/>
                          </a:rPr>
                          <m:t>e</m:t>
                        </m:r>
                      </m:e>
                      <m:sub>
                        <m:r>
                          <a:rPr xmlns:a="http://schemas.openxmlformats.org/drawingml/2006/main" sz="2000" i="1">
                            <a:solidFill>
                              <a:srgbClr val="000000"/>
                            </a:solidFill>
                            <a:latin typeface="Cambria Math" panose="02040503050406030204" pitchFamily="18" charset="0"/>
                          </a:rPr>
                          <m:t>p</m:t>
                        </m:r>
                        <m:r>
                          <a:rPr xmlns:a="http://schemas.openxmlformats.org/drawingml/2006/main" sz="2000" i="1">
                            <a:solidFill>
                              <a:srgbClr val="000000"/>
                            </a:solidFill>
                            <a:latin typeface="Cambria Math" panose="02040503050406030204" pitchFamily="18" charset="0"/>
                          </a:rPr>
                          <m:t>e</m:t>
                        </m:r>
                        <m:r>
                          <a:rPr xmlns:a="http://schemas.openxmlformats.org/drawingml/2006/main" sz="2000" i="1">
                            <a:solidFill>
                              <a:srgbClr val="000000"/>
                            </a:solidFill>
                            <a:latin typeface="Cambria Math" panose="02040503050406030204" pitchFamily="18" charset="0"/>
                          </a:rPr>
                          <m:t>r</m:t>
                        </m:r>
                        <m:r>
                          <a:rPr xmlns:a="http://schemas.openxmlformats.org/drawingml/2006/main" sz="2000" i="1">
                            <a:solidFill>
                              <a:srgbClr val="000000"/>
                            </a:solidFill>
                            <a:latin typeface="Cambria Math" panose="02040503050406030204" pitchFamily="18" charset="0"/>
                          </a:rPr>
                          <m:t>m</m:t>
                        </m:r>
                        <m:r>
                          <a:rPr xmlns:a="http://schemas.openxmlformats.org/drawingml/2006/main" sz="2000" i="1">
                            <a:solidFill>
                              <a:srgbClr val="000000"/>
                            </a:solidFill>
                            <a:latin typeface="Cambria Math" panose="02040503050406030204" pitchFamily="18" charset="0"/>
                          </a:rPr>
                          <m:t>i</m:t>
                        </m:r>
                        <m:r>
                          <a:rPr xmlns:a="http://schemas.openxmlformats.org/drawingml/2006/main" sz="2000" i="1">
                            <a:solidFill>
                              <a:srgbClr val="000000"/>
                            </a:solidFill>
                            <a:latin typeface="Cambria Math" panose="02040503050406030204" pitchFamily="18" charset="0"/>
                          </a:rPr>
                          <m:t>t</m:t>
                        </m:r>
                        <m:r>
                          <a:rPr xmlns:a="http://schemas.openxmlformats.org/drawingml/2006/main" sz="2000" i="1">
                            <a:solidFill>
                              <a:srgbClr val="000000"/>
                            </a:solidFill>
                            <a:latin typeface="Cambria Math" panose="02040503050406030204" pitchFamily="18" charset="0"/>
                          </a:rPr>
                          <m:t>i</m:t>
                        </m:r>
                        <m:r>
                          <a:rPr xmlns:a="http://schemas.openxmlformats.org/drawingml/2006/main" sz="2000" i="1">
                            <a:solidFill>
                              <a:srgbClr val="000000"/>
                            </a:solidFill>
                            <a:latin typeface="Cambria Math" panose="02040503050406030204" pitchFamily="18" charset="0"/>
                          </a:rPr>
                          <m:t>v</m:t>
                        </m:r>
                        <m:r>
                          <a:rPr xmlns:a="http://schemas.openxmlformats.org/drawingml/2006/main" sz="2000" i="1">
                            <a:solidFill>
                              <a:srgbClr val="000000"/>
                            </a:solidFill>
                            <a:latin typeface="Cambria Math" panose="02040503050406030204" pitchFamily="18" charset="0"/>
                          </a:rPr>
                          <m:t>y</m:t>
                        </m:r>
                      </m:sub>
                    </m:sSub>
                    <m:r>
                      <a:rPr xmlns:a="http://schemas.openxmlformats.org/drawingml/2006/main" sz="2000" i="1">
                        <a:solidFill>
                          <a:srgbClr val="000000"/>
                        </a:solidFill>
                        <a:latin typeface="Cambria Math" panose="02040503050406030204" pitchFamily="18" charset="0"/>
                      </a:rPr>
                      <m:t>/</m:t>
                    </m:r>
                    <m:r>
                      <a:rPr xmlns:a="http://schemas.openxmlformats.org/drawingml/2006/main" sz="2000" i="1">
                        <a:solidFill>
                          <a:srgbClr val="000000"/>
                        </a:solidFill>
                        <a:latin typeface="Cambria Math" panose="02040503050406030204" pitchFamily="18" charset="0"/>
                      </a:rPr>
                      <m:t>2</m:t>
                    </m:r>
                    <m:r>
                      <a:rPr xmlns:a="http://schemas.openxmlformats.org/drawingml/2006/main" sz="2000" i="1">
                        <a:solidFill>
                          <a:srgbClr val="000000"/>
                        </a:solidFill>
                        <a:latin typeface="Cambria Math" panose="02040503050406030204" pitchFamily="18" charset="0"/>
                      </a:rPr>
                      <m:t>(</m:t>
                    </m:r>
                    <m:r>
                      <a:rPr xmlns:a="http://schemas.openxmlformats.org/drawingml/2006/main" sz="2000" i="1">
                        <a:solidFill>
                          <a:srgbClr val="000000"/>
                        </a:solidFill>
                        <a:latin typeface="Cambria Math" panose="02040503050406030204" pitchFamily="18" charset="0"/>
                      </a:rPr>
                      <m:t>z</m:t>
                    </m:r>
                    <m:r>
                      <a:rPr xmlns:a="http://schemas.openxmlformats.org/drawingml/2006/main" sz="2000" i="1">
                        <a:solidFill>
                          <a:srgbClr val="000000"/>
                        </a:solidFill>
                        <a:latin typeface="Cambria Math" panose="02040503050406030204" pitchFamily="18" charset="0"/>
                      </a:rPr>
                      <m:t>e</m:t>
                    </m:r>
                    <m:sSup>
                      <m:e>
                        <m:r>
                          <a:rPr xmlns:a="http://schemas.openxmlformats.org/drawingml/2006/main" sz="2000" i="1">
                            <a:solidFill>
                              <a:srgbClr val="000000"/>
                            </a:solidFill>
                            <a:latin typeface="Cambria Math" panose="02040503050406030204" pitchFamily="18" charset="0"/>
                          </a:rPr>
                          <m:t>)</m:t>
                        </m:r>
                      </m:e>
                      <m:sup>
                        <m:r>
                          <a:rPr xmlns:a="http://schemas.openxmlformats.org/drawingml/2006/main" sz="2000" i="1">
                            <a:solidFill>
                              <a:srgbClr val="000000"/>
                            </a:solidFill>
                            <a:latin typeface="Cambria Math" panose="02040503050406030204" pitchFamily="18" charset="0"/>
                          </a:rPr>
                          <m:t>2</m:t>
                        </m:r>
                      </m:sup>
                    </m:sSup>
                    <m:sSub>
                      <m:e>
                        <m:r>
                          <a:rPr xmlns:a="http://schemas.openxmlformats.org/drawingml/2006/main" sz="2000" i="1">
                            <a:solidFill>
                              <a:srgbClr val="000000"/>
                            </a:solidFill>
                            <a:latin typeface="Cambria Math" panose="02040503050406030204" pitchFamily="18" charset="0"/>
                          </a:rPr>
                          <m:t>N</m:t>
                        </m:r>
                      </m:e>
                      <m:sub>
                        <m:r>
                          <a:rPr xmlns:a="http://schemas.openxmlformats.org/drawingml/2006/main" sz="2000" i="1">
                            <a:solidFill>
                              <a:srgbClr val="000000"/>
                            </a:solidFill>
                            <a:latin typeface="Cambria Math" panose="02040503050406030204" pitchFamily="18" charset="0"/>
                          </a:rPr>
                          <m:t>A</m:t>
                        </m:r>
                      </m:sub>
                    </m:sSub>
                    <m:sSub>
                      <m:e>
                        <m:r>
                          <a:rPr xmlns:a="http://schemas.openxmlformats.org/drawingml/2006/main" sz="2000" i="1">
                            <a:solidFill>
                              <a:srgbClr val="000000"/>
                            </a:solidFill>
                            <a:latin typeface="Cambria Math" panose="02040503050406030204" pitchFamily="18" charset="0"/>
                          </a:rPr>
                          <m:t>C</m:t>
                        </m:r>
                      </m:e>
                      <m:sub>
                        <m:r>
                          <a:rPr xmlns:a="http://schemas.openxmlformats.org/drawingml/2006/main" sz="2000" i="1">
                            <a:solidFill>
                              <a:srgbClr val="000000"/>
                            </a:solidFill>
                            <a:latin typeface="Cambria Math" panose="02040503050406030204" pitchFamily="18" charset="0"/>
                          </a:rPr>
                          <m:t>o</m:t>
                        </m:r>
                      </m:sub>
                    </m:sSub>
                    <m:r>
                      <a:rPr xmlns:a="http://schemas.openxmlformats.org/drawingml/2006/main" sz="2000" i="1">
                        <a:solidFill>
                          <a:srgbClr val="000000"/>
                        </a:solidFill>
                        <a:latin typeface="Cambria Math" panose="02040503050406030204" pitchFamily="18" charset="0"/>
                      </a:rPr>
                      <m:t>]</m:t>
                    </m:r>
                  </m:e>
                </m:rad>
              </m:oMath>
            </m:oMathPara>
          </a14:m>
          <a:endParaRPr sz="2000">
            <a:solidFill>
              <a:srgbClr val="000000"/>
            </a:solidFill>
          </a:endParaRPr>
        </a:p>
      </xdr:txBody>
    </xdr:sp>
    <xdr:clientData/>
  </xdr:twoCellAnchor>
</xdr:wsDr>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xdr:col>
      <xdr:colOff>349440</xdr:colOff>
      <xdr:row>17</xdr:row>
      <xdr:rowOff>41020</xdr:rowOff>
    </xdr:from>
    <xdr:to>
      <xdr:col>7</xdr:col>
      <xdr:colOff>839343</xdr:colOff>
      <xdr:row>33</xdr:row>
      <xdr:rowOff>62356</xdr:rowOff>
    </xdr:to>
    <xdr:graphicFrame>
      <xdr:nvGraphicFramePr>
        <xdr:cNvPr id="14" name="Chart 14"/>
        <xdr:cNvGraphicFramePr/>
      </xdr:nvGraphicFramePr>
      <xdr:xfrm>
        <a:off x="4083240" y="4618100"/>
        <a:ext cx="5468304" cy="4065017"/>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drawing" Target="../drawings/drawing1.xml"/></Relationships>

</file>

<file path=xl/worksheets/_rels/sheet4.xml.rels><?xml version="1.0" encoding="UTF-8"?>
<Relationships xmlns="http://schemas.openxmlformats.org/package/2006/relationships"><Relationship Id="rId1" Type="http://schemas.openxmlformats.org/officeDocument/2006/relationships/drawing" Target="../drawings/drawing2.xml"/></Relationships>

</file>

<file path=xl/worksheets/_rels/sheet6.xml.rels><?xml version="1.0" encoding="UTF-8"?>
<Relationships xmlns="http://schemas.openxmlformats.org/package/2006/relationships"><Relationship Id="rId1" Type="http://schemas.openxmlformats.org/officeDocument/2006/relationships/drawing" Target="../drawings/drawing3.xml"/></Relationships>

</file>

<file path=xl/worksheets/_rels/sheet7.xml.rels><?xml version="1.0" encoding="UTF-8"?>
<Relationships xmlns="http://schemas.openxmlformats.org/package/2006/relationships"><Relationship Id="rId1" Type="http://schemas.openxmlformats.org/officeDocument/2006/relationships/drawing" Target="../drawings/drawing4.xml"/></Relationships>

</file>

<file path=xl/worksheets/_rels/sheet8.xml.rels><?xml version="1.0" encoding="UTF-8"?>
<Relationships xmlns="http://schemas.openxmlformats.org/package/2006/relationships"><Relationship Id="rId1" Type="http://schemas.openxmlformats.org/officeDocument/2006/relationships/drawing" Target="../drawings/drawing5.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30</v>
      </c>
      <c r="C11" s="3"/>
      <c r="D11" s="3"/>
    </row>
    <row r="12">
      <c r="B12" s="4"/>
      <c r="C12" t="s" s="4">
        <v>5</v>
      </c>
      <c r="D12" t="s" s="5">
        <v>30</v>
      </c>
    </row>
    <row r="13">
      <c r="B13" t="s" s="3">
        <v>75</v>
      </c>
      <c r="C13" s="3"/>
      <c r="D13" s="3"/>
    </row>
    <row r="14">
      <c r="B14" s="4"/>
      <c r="C14" t="s" s="4">
        <v>5</v>
      </c>
      <c r="D14" t="s" s="5">
        <v>75</v>
      </c>
    </row>
    <row r="15">
      <c r="B15" t="s" s="3">
        <v>77</v>
      </c>
      <c r="C15" s="3"/>
      <c r="D15" s="3"/>
    </row>
    <row r="16">
      <c r="B16" s="4"/>
      <c r="C16" t="s" s="4">
        <v>5</v>
      </c>
      <c r="D16" t="s" s="5">
        <v>77</v>
      </c>
    </row>
    <row r="17">
      <c r="B17" t="s" s="3">
        <v>144</v>
      </c>
      <c r="C17" s="3"/>
      <c r="D17" s="3"/>
    </row>
    <row r="18">
      <c r="B18" s="4"/>
      <c r="C18" t="s" s="4">
        <v>5</v>
      </c>
      <c r="D18" t="s" s="5">
        <v>144</v>
      </c>
    </row>
    <row r="19">
      <c r="B19" t="s" s="3">
        <v>191</v>
      </c>
      <c r="C19" s="3"/>
      <c r="D19" s="3"/>
    </row>
    <row r="20">
      <c r="B20" s="4"/>
      <c r="C20" t="s" s="4">
        <v>5</v>
      </c>
      <c r="D20" t="s" s="5">
        <v>191</v>
      </c>
    </row>
    <row r="21">
      <c r="B21" t="s" s="3">
        <v>239</v>
      </c>
      <c r="C21" s="3"/>
      <c r="D21" s="3"/>
    </row>
    <row r="22">
      <c r="B22" s="4"/>
      <c r="C22" t="s" s="4">
        <v>5</v>
      </c>
      <c r="D22" t="s" s="5">
        <v>239</v>
      </c>
    </row>
  </sheetData>
  <mergeCells count="1">
    <mergeCell ref="B3:D3"/>
  </mergeCells>
  <hyperlinks>
    <hyperlink ref="D10" location="'Sheet 1'!R2C1" tooltip="" display="Sheet 1"/>
    <hyperlink ref="D12" location="'Value of Vo and Rf'!R2C1" tooltip="" display="Value of Vo and Rf"/>
    <hyperlink ref="D14" location="'Sheet 2'!R2C1" tooltip="" display="Sheet 2"/>
    <hyperlink ref="D16" location="'Sheet 3'!R2C1" tooltip="" display="Sheet 3"/>
    <hyperlink ref="D18" location="'COVID DNA Detection Cap'!R2C1" tooltip="" display="COVID DNA Detection Cap"/>
    <hyperlink ref="D20" location="'COVID Detection Clean Sheet'!R2C1" tooltip="" display="COVID Detection Clean Sheet"/>
    <hyperlink ref="D22" location="'Detection Curve'!R2C1" tooltip="" display="Detection Curve"/>
  </hyperlinks>
</worksheet>
</file>

<file path=xl/worksheets/sheet2.xml><?xml version="1.0" encoding="utf-8"?>
<worksheet xmlns:r="http://schemas.openxmlformats.org/officeDocument/2006/relationships" xmlns="http://schemas.openxmlformats.org/spreadsheetml/2006/main">
  <sheetPr>
    <pageSetUpPr fitToPage="1"/>
  </sheetPr>
  <dimension ref="A2:G3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7" width="16.3516" style="6" customWidth="1"/>
    <col min="8" max="16384" width="16.3516" style="6" customWidth="1"/>
  </cols>
  <sheetData>
    <row r="1" ht="27.65" customHeight="1">
      <c r="A1" t="s" s="7">
        <v>5</v>
      </c>
      <c r="B1" s="7"/>
      <c r="C1" s="7"/>
      <c r="D1" s="7"/>
      <c r="E1" s="7"/>
      <c r="F1" s="7"/>
      <c r="G1" s="7"/>
    </row>
    <row r="2" ht="20.25" customHeight="1">
      <c r="A2" s="8"/>
      <c r="B2" s="8"/>
      <c r="C2" s="8"/>
      <c r="D2" s="8"/>
      <c r="E2" s="8"/>
      <c r="F2" s="8"/>
      <c r="G2" s="8"/>
    </row>
    <row r="3" ht="20.25" customHeight="1">
      <c r="A3" s="9"/>
      <c r="B3" s="10"/>
      <c r="C3" s="11"/>
      <c r="D3" s="11"/>
      <c r="E3" s="11"/>
      <c r="F3" s="11"/>
      <c r="G3" s="11"/>
    </row>
    <row r="4" ht="20.05" customHeight="1">
      <c r="A4" s="12"/>
      <c r="B4" s="13">
        <v>2</v>
      </c>
      <c r="C4" s="14"/>
      <c r="D4" s="14"/>
      <c r="E4" s="15">
        <v>2</v>
      </c>
      <c r="F4" s="14"/>
      <c r="G4" s="14"/>
    </row>
    <row r="5" ht="20.05" customHeight="1">
      <c r="A5" t="s" s="16">
        <v>6</v>
      </c>
      <c r="B5" s="13">
        <f t="shared" si="0" ref="B5:E5">22/7</f>
        <v>3.14285714285714</v>
      </c>
      <c r="C5" s="14"/>
      <c r="D5" t="s" s="17">
        <v>6</v>
      </c>
      <c r="E5" s="15">
        <f t="shared" si="0"/>
        <v>3.14285714285714</v>
      </c>
      <c r="F5" s="14"/>
      <c r="G5" s="14"/>
    </row>
    <row r="6" ht="20.05" customHeight="1">
      <c r="A6" t="s" s="16">
        <v>7</v>
      </c>
      <c r="B6" s="18">
        <v>0.25</v>
      </c>
      <c r="C6" s="14"/>
      <c r="D6" t="s" s="17">
        <v>7</v>
      </c>
      <c r="E6" s="15">
        <v>0.25</v>
      </c>
      <c r="F6" s="14"/>
      <c r="G6" s="14"/>
    </row>
    <row r="7" ht="20.05" customHeight="1">
      <c r="A7" t="s" s="16">
        <v>8</v>
      </c>
      <c r="B7" s="19">
        <v>9.6e-05</v>
      </c>
      <c r="C7" s="14"/>
      <c r="D7" t="s" s="17">
        <v>8</v>
      </c>
      <c r="E7" s="15">
        <v>9.6e-05</v>
      </c>
      <c r="F7" s="14"/>
      <c r="G7" s="14"/>
    </row>
    <row r="8" ht="20.05" customHeight="1">
      <c r="A8" t="s" s="16">
        <v>9</v>
      </c>
      <c r="B8" s="19">
        <v>98</v>
      </c>
      <c r="C8" s="14"/>
      <c r="D8" t="s" s="17">
        <v>9</v>
      </c>
      <c r="E8" s="15">
        <v>98</v>
      </c>
      <c r="F8" s="14"/>
      <c r="G8" s="14"/>
    </row>
    <row r="9" ht="20.05" customHeight="1">
      <c r="A9" t="s" s="16">
        <v>10</v>
      </c>
      <c r="B9" s="13">
        <f>1/B6</f>
        <v>4</v>
      </c>
      <c r="C9" s="14"/>
      <c r="D9" t="s" s="17">
        <v>10</v>
      </c>
      <c r="E9" s="15">
        <f>1/E6</f>
        <v>4</v>
      </c>
      <c r="F9" s="14"/>
      <c r="G9" s="14"/>
    </row>
    <row r="10" ht="20.05" customHeight="1">
      <c r="A10" t="s" s="16">
        <v>11</v>
      </c>
      <c r="B10" s="13">
        <f>B4*B5*B6*B7</f>
        <v>0.000150857142857143</v>
      </c>
      <c r="C10" s="14"/>
      <c r="D10" t="s" s="17">
        <v>11</v>
      </c>
      <c r="E10" s="15">
        <f>E4*E5*E6*E7</f>
        <v>0.000150857142857143</v>
      </c>
      <c r="F10" s="14"/>
      <c r="G10" s="14"/>
    </row>
    <row r="11" ht="20.05" customHeight="1">
      <c r="A11" t="s" s="16">
        <v>12</v>
      </c>
      <c r="B11" s="13">
        <f>1/B10</f>
        <v>6628.787878787870</v>
      </c>
      <c r="C11" s="14"/>
      <c r="D11" t="s" s="17">
        <v>12</v>
      </c>
      <c r="E11" s="15">
        <f>1/E10</f>
        <v>6628.787878787870</v>
      </c>
      <c r="F11" s="14"/>
      <c r="G11" s="14"/>
    </row>
    <row r="12" ht="20.05" customHeight="1">
      <c r="A12" s="12"/>
      <c r="B12" s="20"/>
      <c r="C12" s="14"/>
      <c r="D12" s="14"/>
      <c r="E12" s="14"/>
      <c r="F12" s="14"/>
      <c r="G12" s="14"/>
    </row>
    <row r="13" ht="20.05" customHeight="1">
      <c r="A13" s="12"/>
      <c r="B13" s="20"/>
      <c r="C13" s="14"/>
      <c r="D13" s="14"/>
      <c r="E13" s="14"/>
      <c r="F13" s="14"/>
      <c r="G13" s="14"/>
    </row>
    <row r="14" ht="20.05" customHeight="1">
      <c r="A14" t="s" s="16">
        <v>13</v>
      </c>
      <c r="B14" s="13">
        <f>(B8^2)+(B11^2)</f>
        <v>43950432.741965</v>
      </c>
      <c r="C14" s="14"/>
      <c r="D14" t="s" s="17">
        <v>13</v>
      </c>
      <c r="E14" s="15">
        <f>(E8^2)+(E11^2)</f>
        <v>43950432.741965</v>
      </c>
      <c r="F14" s="14"/>
      <c r="G14" s="14"/>
    </row>
    <row r="15" ht="20.05" customHeight="1">
      <c r="A15" t="s" s="16">
        <v>14</v>
      </c>
      <c r="B15" s="13">
        <f>SQRT(B14)</f>
        <v>6629.5122552089</v>
      </c>
      <c r="C15" s="14"/>
      <c r="D15" t="s" s="17">
        <v>14</v>
      </c>
      <c r="E15" s="15">
        <f>SQRT(E14)</f>
        <v>6629.5122552089</v>
      </c>
      <c r="F15" s="14"/>
      <c r="G15" s="14"/>
    </row>
    <row r="16" ht="20.05" customHeight="1">
      <c r="A16" s="12"/>
      <c r="B16" s="20"/>
      <c r="C16" s="14"/>
      <c r="D16" s="14"/>
      <c r="E16" s="14"/>
      <c r="F16" s="14"/>
      <c r="G16" s="14"/>
    </row>
    <row r="17" ht="20.05" customHeight="1">
      <c r="A17" t="s" s="16">
        <v>15</v>
      </c>
      <c r="B17" s="13">
        <v>1</v>
      </c>
      <c r="C17" s="14"/>
      <c r="D17" t="s" s="17">
        <v>16</v>
      </c>
      <c r="E17" s="15">
        <f>C22</f>
        <v>0.3</v>
      </c>
      <c r="F17" s="14"/>
      <c r="G17" s="14"/>
    </row>
    <row r="18" ht="20.05" customHeight="1">
      <c r="A18" s="12"/>
      <c r="B18" s="20"/>
      <c r="C18" s="14"/>
      <c r="D18" s="14"/>
      <c r="E18" s="14"/>
      <c r="F18" s="14"/>
      <c r="G18" s="14"/>
    </row>
    <row r="19" ht="20.05" customHeight="1">
      <c r="A19" t="s" s="16">
        <v>17</v>
      </c>
      <c r="B19" s="13">
        <f>B17/B15</f>
        <v>0.000150840659388522</v>
      </c>
      <c r="C19" s="14"/>
      <c r="D19" t="s" s="17">
        <v>17</v>
      </c>
      <c r="E19" s="21">
        <f>E17/E15</f>
        <v>4.52521978165567e-05</v>
      </c>
      <c r="F19" t="s" s="17">
        <v>18</v>
      </c>
      <c r="G19" s="21">
        <f>(E19*C25)+C23</f>
        <v>2.40252197816557</v>
      </c>
    </row>
    <row r="20" ht="20.25" customHeight="1">
      <c r="A20" s="22"/>
      <c r="B20" s="23"/>
      <c r="C20" s="24"/>
      <c r="D20" s="24"/>
      <c r="E20" s="24"/>
      <c r="F20" s="24"/>
      <c r="G20" s="24"/>
    </row>
    <row r="21" ht="14.85" customHeight="1">
      <c r="A21" t="s" s="25">
        <v>19</v>
      </c>
      <c r="B21" t="s" s="26">
        <v>20</v>
      </c>
      <c r="C21" s="27">
        <v>1.65</v>
      </c>
      <c r="D21" s="28"/>
      <c r="E21" s="28"/>
      <c r="F21" s="28"/>
      <c r="G21" s="29"/>
    </row>
    <row r="22" ht="15" customHeight="1">
      <c r="A22" t="s" s="30">
        <v>21</v>
      </c>
      <c r="B22" t="s" s="31">
        <v>20</v>
      </c>
      <c r="C22" s="32">
        <v>0.3</v>
      </c>
      <c r="D22" s="33"/>
      <c r="E22" t="s" s="31">
        <v>22</v>
      </c>
      <c r="F22" t="s" s="31">
        <v>20</v>
      </c>
      <c r="G22" s="34">
        <v>-0.000145</v>
      </c>
    </row>
    <row r="23" ht="15" customHeight="1">
      <c r="A23" t="s" s="30">
        <v>23</v>
      </c>
      <c r="B23" t="s" s="31">
        <v>20</v>
      </c>
      <c r="C23" s="35">
        <v>1.95</v>
      </c>
      <c r="D23" s="33"/>
      <c r="E23" s="33"/>
      <c r="F23" s="33"/>
      <c r="G23" s="36"/>
    </row>
    <row r="24" ht="15" customHeight="1">
      <c r="A24" s="37"/>
      <c r="B24" s="33"/>
      <c r="C24" s="33"/>
      <c r="D24" s="33"/>
      <c r="E24" t="s" s="31">
        <v>24</v>
      </c>
      <c r="F24" s="38"/>
      <c r="G24" s="36"/>
    </row>
    <row r="25" ht="15" customHeight="1">
      <c r="A25" t="s" s="30">
        <v>25</v>
      </c>
      <c r="B25" t="s" s="31">
        <v>20</v>
      </c>
      <c r="C25" s="39">
        <v>10000</v>
      </c>
      <c r="D25" s="33"/>
      <c r="E25" s="33"/>
      <c r="F25" s="33"/>
      <c r="G25" s="36"/>
    </row>
    <row r="26" ht="12.7" customHeight="1">
      <c r="A26" s="37"/>
      <c r="B26" s="33"/>
      <c r="C26" s="33"/>
      <c r="D26" s="33"/>
      <c r="E26" s="33"/>
      <c r="F26" s="33"/>
      <c r="G26" s="36"/>
    </row>
    <row r="27" ht="15" customHeight="1">
      <c r="A27" t="s" s="30">
        <v>26</v>
      </c>
      <c r="B27" t="s" s="31">
        <v>20</v>
      </c>
      <c r="C27" s="35">
        <v>0.5</v>
      </c>
      <c r="D27" s="33"/>
      <c r="E27" s="33"/>
      <c r="F27" s="33"/>
      <c r="G27" s="36"/>
    </row>
    <row r="28" ht="15" customHeight="1">
      <c r="A28" s="40"/>
      <c r="B28" s="41"/>
      <c r="C28" s="42"/>
      <c r="D28" s="33"/>
      <c r="E28" s="33"/>
      <c r="F28" s="33"/>
      <c r="G28" s="36"/>
    </row>
    <row r="29" ht="15" customHeight="1">
      <c r="A29" t="s" s="31">
        <v>27</v>
      </c>
      <c r="B29" t="s" s="31">
        <v>20</v>
      </c>
      <c r="C29" s="35">
        <f>C22</f>
        <v>0.3</v>
      </c>
      <c r="D29" s="33"/>
      <c r="E29" s="33"/>
      <c r="F29" s="33"/>
      <c r="G29" s="36"/>
    </row>
    <row r="30" ht="15" customHeight="1">
      <c r="A30" t="s" s="31">
        <v>28</v>
      </c>
      <c r="B30" t="s" s="31">
        <v>20</v>
      </c>
      <c r="C30" s="32">
        <v>-0.3</v>
      </c>
      <c r="D30" s="33"/>
      <c r="E30" s="33"/>
      <c r="F30" s="33"/>
      <c r="G30" s="36"/>
    </row>
    <row r="31" ht="12.7" customHeight="1">
      <c r="A31" s="43"/>
      <c r="B31" s="33"/>
      <c r="C31" s="33"/>
      <c r="D31" s="33"/>
      <c r="E31" s="33"/>
      <c r="F31" s="33"/>
      <c r="G31" s="36"/>
    </row>
    <row r="32" ht="15" customHeight="1">
      <c r="A32" t="s" s="31">
        <v>29</v>
      </c>
      <c r="B32" t="s" s="31">
        <v>20</v>
      </c>
      <c r="C32" s="35">
        <f>(SQRT((C29^2))+SQRT((C30^2)))/2</f>
        <v>0.3</v>
      </c>
      <c r="D32" s="44"/>
      <c r="E32" s="44"/>
      <c r="F32" s="44"/>
      <c r="G32" s="45"/>
    </row>
  </sheetData>
  <mergeCells count="2">
    <mergeCell ref="A1:G1"/>
    <mergeCell ref="E24:F24"/>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L25"/>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46" customWidth="1"/>
    <col min="2" max="2" width="15" style="46" customWidth="1"/>
    <col min="3" max="11" width="16.3516" style="46" customWidth="1"/>
    <col min="12" max="12" width="10.3516" style="46" customWidth="1"/>
    <col min="13" max="16384" width="16.3516" style="46" customWidth="1"/>
  </cols>
  <sheetData>
    <row r="1" ht="27.65" customHeight="1">
      <c r="A1" t="s" s="7">
        <v>5</v>
      </c>
      <c r="B1" s="7"/>
      <c r="C1" s="7"/>
      <c r="D1" s="7"/>
      <c r="E1" s="7"/>
      <c r="F1" s="7"/>
      <c r="G1" s="7"/>
      <c r="H1" s="7"/>
      <c r="I1" s="7"/>
      <c r="J1" s="7"/>
      <c r="K1" s="7"/>
      <c r="L1" s="7"/>
    </row>
    <row r="2" ht="20.25" customHeight="1">
      <c r="A2" s="8"/>
      <c r="B2" t="s" s="47">
        <v>31</v>
      </c>
      <c r="C2" t="s" s="47">
        <v>32</v>
      </c>
      <c r="D2" t="s" s="47">
        <v>33</v>
      </c>
      <c r="E2" s="8"/>
      <c r="F2" s="8"/>
      <c r="G2" s="8"/>
      <c r="H2" s="8"/>
      <c r="I2" s="8"/>
      <c r="J2" s="8"/>
      <c r="K2" s="8"/>
      <c r="L2" s="8"/>
    </row>
    <row r="3" ht="20.25" customHeight="1">
      <c r="A3" t="s" s="48">
        <v>34</v>
      </c>
      <c r="B3" t="s" s="49">
        <v>35</v>
      </c>
      <c r="C3" s="50"/>
      <c r="D3" s="51">
        <f>(C6*D16)+D5</f>
        <v>0.807123458403148</v>
      </c>
      <c r="E3" s="50"/>
      <c r="F3" t="s" s="52">
        <v>36</v>
      </c>
      <c r="G3" s="51">
        <f>D5*(1+(C6/D14))</f>
        <v>0.752130247962046</v>
      </c>
      <c r="H3" s="11"/>
      <c r="I3" s="11"/>
      <c r="J3" s="11"/>
      <c r="K3" s="11"/>
      <c r="L3" s="11"/>
    </row>
    <row r="4" ht="20.05" customHeight="1">
      <c r="A4" t="s" s="16">
        <v>16</v>
      </c>
      <c r="B4" t="s" s="53">
        <v>37</v>
      </c>
      <c r="C4" s="14"/>
      <c r="D4" s="54">
        <f>((-2)*C15*D10*J19)+1.65</f>
        <v>2.65</v>
      </c>
      <c r="E4" s="54">
        <f>((-2)*C15*D10*J19)</f>
        <v>1</v>
      </c>
      <c r="F4" s="14"/>
      <c r="G4" s="14"/>
      <c r="H4" s="14"/>
      <c r="I4" s="14"/>
      <c r="J4" s="14"/>
      <c r="K4" s="14"/>
      <c r="L4" s="14"/>
    </row>
    <row r="5" ht="20.05" customHeight="1">
      <c r="A5" t="s" s="16">
        <v>16</v>
      </c>
      <c r="B5" t="s" s="53">
        <v>38</v>
      </c>
      <c r="C5" s="14"/>
      <c r="D5" s="54">
        <f>(2*C15*D10*J19)+(1.65)</f>
        <v>0.65</v>
      </c>
      <c r="E5" s="54">
        <f>(2*C15*D10*J19)</f>
        <v>-1</v>
      </c>
      <c r="F5" t="s" s="17">
        <v>39</v>
      </c>
      <c r="G5" t="s" s="17">
        <v>40</v>
      </c>
      <c r="H5" t="s" s="17">
        <v>41</v>
      </c>
      <c r="I5" t="s" s="17">
        <v>42</v>
      </c>
      <c r="J5" t="s" s="17">
        <v>43</v>
      </c>
      <c r="K5" s="14"/>
      <c r="L5" s="14"/>
    </row>
    <row r="6" ht="20.05" customHeight="1">
      <c r="A6" t="s" s="16">
        <v>44</v>
      </c>
      <c r="B6" s="20"/>
      <c r="C6" s="55">
        <v>1000</v>
      </c>
      <c r="D6" s="14"/>
      <c r="E6" t="s" s="17">
        <v>45</v>
      </c>
      <c r="F6" s="15">
        <f>C17/4</f>
        <v>1</v>
      </c>
      <c r="G6" s="15">
        <f>C17/2</f>
        <v>2</v>
      </c>
      <c r="H6" s="15">
        <f>(C17*3)/4</f>
        <v>3</v>
      </c>
      <c r="I6" s="15">
        <f>C17</f>
        <v>4</v>
      </c>
      <c r="J6" s="15">
        <v>0</v>
      </c>
      <c r="K6" t="s" s="17">
        <v>46</v>
      </c>
      <c r="L6" s="14"/>
    </row>
    <row r="7" ht="20.05" customHeight="1">
      <c r="A7" t="s" s="16">
        <v>27</v>
      </c>
      <c r="B7" s="20"/>
      <c r="C7" s="56">
        <v>1</v>
      </c>
      <c r="D7" s="14"/>
      <c r="E7" t="s" s="17">
        <v>47</v>
      </c>
      <c r="F7" s="57">
        <f>F6+F8</f>
        <v>2</v>
      </c>
      <c r="G7" s="57">
        <f>G6+F8</f>
        <v>3</v>
      </c>
      <c r="H7" s="57">
        <f>H6+F8</f>
        <v>4</v>
      </c>
      <c r="I7" s="57">
        <f>I6+F8</f>
        <v>5</v>
      </c>
      <c r="J7" s="57">
        <f>F8+J6</f>
        <v>1</v>
      </c>
      <c r="K7" s="57">
        <v>1</v>
      </c>
      <c r="L7" s="58"/>
    </row>
    <row r="8" ht="20.05" customHeight="1">
      <c r="A8" t="s" s="16">
        <v>28</v>
      </c>
      <c r="B8" s="20"/>
      <c r="C8" s="56">
        <v>-1</v>
      </c>
      <c r="D8" s="14"/>
      <c r="E8" t="s" s="17">
        <v>39</v>
      </c>
      <c r="F8" s="15">
        <f>C17/4</f>
        <v>1</v>
      </c>
      <c r="G8" s="14"/>
      <c r="H8" s="14"/>
      <c r="I8" s="14"/>
      <c r="J8" s="14"/>
      <c r="K8" s="14"/>
      <c r="L8" s="14"/>
    </row>
    <row r="9" ht="20.05" customHeight="1">
      <c r="A9" t="s" s="16">
        <v>48</v>
      </c>
      <c r="B9" t="s" s="53">
        <v>49</v>
      </c>
      <c r="C9" s="14"/>
      <c r="D9" s="15">
        <f>(C7-C8)/2</f>
        <v>1</v>
      </c>
      <c r="E9" s="14"/>
      <c r="F9" s="14"/>
      <c r="G9" s="14"/>
      <c r="H9" s="14"/>
      <c r="I9" s="14"/>
      <c r="J9" s="14"/>
      <c r="K9" s="14"/>
      <c r="L9" s="14"/>
    </row>
    <row r="10" ht="20.05" customHeight="1">
      <c r="A10" t="s" s="16">
        <v>50</v>
      </c>
      <c r="B10" t="s" s="53">
        <v>51</v>
      </c>
      <c r="C10" s="14"/>
      <c r="D10" s="15">
        <f>C7-C8</f>
        <v>2</v>
      </c>
      <c r="E10" s="14"/>
      <c r="F10" s="14"/>
      <c r="G10" s="14"/>
      <c r="H10" s="14"/>
      <c r="I10" s="14"/>
      <c r="J10" s="14"/>
      <c r="K10" s="14"/>
      <c r="L10" s="14"/>
    </row>
    <row r="11" ht="20.05" customHeight="1">
      <c r="A11" t="s" s="16">
        <v>52</v>
      </c>
      <c r="B11" s="20"/>
      <c r="C11" s="59">
        <v>100</v>
      </c>
      <c r="D11" s="14"/>
      <c r="E11" s="14"/>
      <c r="F11" t="s" s="17">
        <v>34</v>
      </c>
      <c r="G11" s="21">
        <f>(C6*2*C15*(D10)*(C12+(K7/C6)))-(EXP(-(K7/(C11*C12)))+(C21))</f>
        <v>-0.55</v>
      </c>
      <c r="H11" s="14"/>
      <c r="I11" s="14"/>
      <c r="J11" s="14"/>
      <c r="K11" s="14"/>
      <c r="L11" s="14"/>
    </row>
    <row r="12" ht="20.05" customHeight="1">
      <c r="A12" t="s" s="16">
        <v>8</v>
      </c>
      <c r="B12" s="20"/>
      <c r="C12" s="60">
        <v>0.0001</v>
      </c>
      <c r="D12" s="14"/>
      <c r="E12" s="14"/>
      <c r="F12" s="14"/>
      <c r="G12" s="14"/>
      <c r="H12" s="14"/>
      <c r="I12" s="14"/>
      <c r="J12" s="14"/>
      <c r="K12" s="14"/>
      <c r="L12" s="14"/>
    </row>
    <row r="13" ht="20.05" customHeight="1">
      <c r="A13" t="s" s="16">
        <v>53</v>
      </c>
      <c r="B13" t="s" s="53">
        <v>54</v>
      </c>
      <c r="C13" s="14"/>
      <c r="D13" s="15">
        <f>1/(2*(22/7)*C15*C12)</f>
        <v>6363.636363636360</v>
      </c>
      <c r="E13" s="14"/>
      <c r="F13" s="15">
        <f>(C6*2*C15*(D10)*(C12+(F7/C6)))</f>
        <v>2.1</v>
      </c>
      <c r="G13" t="s" s="17">
        <v>55</v>
      </c>
      <c r="H13" s="14"/>
      <c r="I13" s="14"/>
      <c r="J13" s="14"/>
      <c r="K13" s="14"/>
      <c r="L13" s="14"/>
    </row>
    <row r="14" ht="20.05" customHeight="1">
      <c r="A14" t="s" s="16">
        <v>56</v>
      </c>
      <c r="B14" t="s" s="53">
        <v>57</v>
      </c>
      <c r="C14" s="14"/>
      <c r="D14" s="15">
        <f>SQRT(((C11^2)+(D13^2)))</f>
        <v>6364.422029422230</v>
      </c>
      <c r="E14" s="14"/>
      <c r="F14" s="61">
        <f>EXP(-(F7/(C11*C12)))</f>
        <v>1.38389652673674e-87</v>
      </c>
      <c r="G14" t="s" s="17">
        <v>58</v>
      </c>
      <c r="H14" s="14"/>
      <c r="I14" s="14"/>
      <c r="J14" s="14"/>
      <c r="K14" s="14"/>
      <c r="L14" s="14"/>
    </row>
    <row r="15" ht="20.05" customHeight="1">
      <c r="A15" t="s" s="16">
        <v>7</v>
      </c>
      <c r="B15" s="20"/>
      <c r="C15" s="62">
        <v>0.25</v>
      </c>
      <c r="D15" s="14"/>
      <c r="E15" s="14"/>
      <c r="F15" s="15">
        <f>C21</f>
        <v>1.65</v>
      </c>
      <c r="G15" t="s" s="17">
        <v>59</v>
      </c>
      <c r="H15" s="14"/>
      <c r="I15" s="14"/>
      <c r="J15" s="14"/>
      <c r="K15" s="14"/>
      <c r="L15" s="14"/>
    </row>
    <row r="16" ht="44.05" customHeight="1">
      <c r="A16" t="s" s="16">
        <v>22</v>
      </c>
      <c r="B16" t="s" s="53">
        <v>60</v>
      </c>
      <c r="C16" s="14"/>
      <c r="D16" s="15">
        <f>D9/(SQRT(((C11*C11)+(D13*D13))))</f>
        <v>0.000157123458403148</v>
      </c>
      <c r="E16" s="15">
        <f>(G11-D5)/C6</f>
        <v>-0.0012</v>
      </c>
      <c r="F16" t="s" s="17">
        <v>61</v>
      </c>
      <c r="G16" s="14"/>
      <c r="H16" s="14"/>
      <c r="I16" s="14"/>
      <c r="J16" s="14"/>
      <c r="K16" s="14"/>
      <c r="L16" s="14"/>
    </row>
    <row r="17" ht="20.85" customHeight="1">
      <c r="A17" t="s" s="16">
        <v>42</v>
      </c>
      <c r="B17" t="s" s="53">
        <v>62</v>
      </c>
      <c r="C17" s="63">
        <f>1/C15</f>
        <v>4</v>
      </c>
      <c r="D17" s="14"/>
      <c r="E17" s="14"/>
      <c r="F17" s="64"/>
      <c r="G17" s="64"/>
      <c r="H17" s="64"/>
      <c r="I17" s="64"/>
      <c r="J17" s="64"/>
      <c r="K17" s="64"/>
      <c r="L17" s="64"/>
    </row>
    <row r="18" ht="32.85" customHeight="1">
      <c r="A18" t="s" s="16">
        <v>63</v>
      </c>
      <c r="B18" t="s" s="53">
        <v>64</v>
      </c>
      <c r="C18" s="54">
        <f>4*D9*C15</f>
        <v>1</v>
      </c>
      <c r="D18" s="14"/>
      <c r="E18" s="65"/>
      <c r="F18" t="s" s="66">
        <v>65</v>
      </c>
      <c r="G18" t="s" s="67">
        <v>66</v>
      </c>
      <c r="H18" t="s" s="67">
        <v>8</v>
      </c>
      <c r="I18" t="s" s="67">
        <v>44</v>
      </c>
      <c r="J18" t="s" s="67">
        <v>67</v>
      </c>
      <c r="K18" t="s" s="68">
        <v>68</v>
      </c>
      <c r="L18" t="s" s="69">
        <v>69</v>
      </c>
    </row>
    <row r="19" ht="20.05" customHeight="1">
      <c r="A19" t="s" s="16">
        <v>70</v>
      </c>
      <c r="B19" t="s" s="53">
        <v>71</v>
      </c>
      <c r="C19" s="14"/>
      <c r="D19" s="15">
        <f>ATAN(D13/C11)</f>
        <v>1.55508333437782</v>
      </c>
      <c r="E19" s="65"/>
      <c r="F19" s="70">
        <f>G19*J19</f>
        <v>-1</v>
      </c>
      <c r="G19" s="15">
        <f>2*C15*(D10)</f>
        <v>1</v>
      </c>
      <c r="H19" s="71">
        <f>C12</f>
        <v>0.0001</v>
      </c>
      <c r="I19" s="15">
        <f>C6</f>
        <v>1000</v>
      </c>
      <c r="J19" s="55">
        <v>-1</v>
      </c>
      <c r="K19" s="15">
        <f>G19*H19*I19</f>
        <v>0.1</v>
      </c>
      <c r="L19" s="72">
        <f>L22*I19</f>
        <v>2.68811714181614e+46</v>
      </c>
    </row>
    <row r="20" ht="20.05" customHeight="1">
      <c r="A20" t="s" s="16">
        <v>72</v>
      </c>
      <c r="B20" s="20"/>
      <c r="C20" s="14"/>
      <c r="D20" s="15">
        <f>DEGREES(D19)</f>
        <v>89.0997118509804</v>
      </c>
      <c r="E20" s="65"/>
      <c r="F20" s="73"/>
      <c r="G20" s="14"/>
      <c r="H20" t="s" s="17">
        <v>52</v>
      </c>
      <c r="I20" s="14"/>
      <c r="J20" s="14"/>
      <c r="K20" s="14"/>
      <c r="L20" s="65"/>
    </row>
    <row r="21" ht="20.05" customHeight="1">
      <c r="A21" t="s" s="16">
        <v>73</v>
      </c>
      <c r="B21" s="20"/>
      <c r="C21" s="74">
        <v>1.65</v>
      </c>
      <c r="D21" s="14"/>
      <c r="E21" s="65"/>
      <c r="F21" s="73"/>
      <c r="G21" s="14"/>
      <c r="H21" s="15">
        <f>C11</f>
        <v>100</v>
      </c>
      <c r="I21" s="14"/>
      <c r="J21" s="14"/>
      <c r="K21" s="14"/>
      <c r="L21" t="s" s="75">
        <v>74</v>
      </c>
    </row>
    <row r="22" ht="20.85" customHeight="1">
      <c r="A22" s="12"/>
      <c r="B22" s="20"/>
      <c r="C22" s="14"/>
      <c r="D22" s="14"/>
      <c r="E22" s="65"/>
      <c r="F22" s="76"/>
      <c r="G22" s="64"/>
      <c r="H22" s="64"/>
      <c r="I22" s="64"/>
      <c r="J22" s="64"/>
      <c r="K22" s="64"/>
      <c r="L22" s="77">
        <f>EXP((-J19/(H19*H21)))</f>
        <v>2.68811714181614e+43</v>
      </c>
    </row>
    <row r="23" ht="20.85" customHeight="1">
      <c r="A23" s="12"/>
      <c r="B23" s="20"/>
      <c r="C23" s="14"/>
      <c r="D23" s="14"/>
      <c r="E23" s="14"/>
      <c r="F23" s="78"/>
      <c r="G23" s="78"/>
      <c r="H23" s="78"/>
      <c r="I23" s="78"/>
      <c r="J23" s="78"/>
      <c r="K23" s="78"/>
      <c r="L23" s="78"/>
    </row>
    <row r="24" ht="20.05" customHeight="1">
      <c r="A24" s="12"/>
      <c r="B24" s="20"/>
      <c r="C24" s="14"/>
      <c r="D24" s="14"/>
      <c r="E24" s="14"/>
      <c r="F24" s="14"/>
      <c r="G24" s="14"/>
      <c r="H24" s="14"/>
      <c r="I24" s="14"/>
      <c r="J24" s="14"/>
      <c r="K24" s="14"/>
      <c r="L24" s="14"/>
    </row>
    <row r="25" ht="20.05" customHeight="1">
      <c r="A25" s="12"/>
      <c r="B25" s="20"/>
      <c r="C25" s="14"/>
      <c r="D25" s="14"/>
      <c r="E25" s="14"/>
      <c r="F25" s="14"/>
      <c r="G25" s="14"/>
      <c r="H25" s="14"/>
      <c r="I25" s="14"/>
      <c r="J25" s="14"/>
      <c r="K25" s="14"/>
      <c r="L25" s="14"/>
    </row>
  </sheetData>
  <mergeCells count="1">
    <mergeCell ref="A1:L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sheetPr>
    <pageSetUpPr fitToPage="1"/>
  </sheetPr>
  <dimension ref="A2:I2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9" width="16.3516" style="79" customWidth="1"/>
    <col min="10" max="16384" width="16.3516" style="79" customWidth="1"/>
  </cols>
  <sheetData>
    <row r="1" ht="27.65" customHeight="1">
      <c r="A1" t="s" s="7">
        <v>5</v>
      </c>
      <c r="B1" s="7"/>
      <c r="C1" s="7"/>
      <c r="D1" s="7"/>
      <c r="E1" s="7"/>
      <c r="F1" s="7"/>
      <c r="G1" s="7"/>
      <c r="H1" s="7"/>
      <c r="I1" s="7"/>
    </row>
    <row r="2" ht="20.25" customHeight="1">
      <c r="A2" s="8"/>
      <c r="B2" s="8"/>
      <c r="C2" t="s" s="47">
        <v>45</v>
      </c>
      <c r="D2" t="s" s="47">
        <v>76</v>
      </c>
      <c r="E2" s="8"/>
      <c r="F2" s="8"/>
      <c r="G2" s="8"/>
      <c r="H2" s="8"/>
      <c r="I2" s="8"/>
    </row>
    <row r="3" ht="20.25" customHeight="1">
      <c r="A3" t="s" s="80">
        <v>27</v>
      </c>
      <c r="B3" s="81">
        <v>1</v>
      </c>
      <c r="C3" s="82">
        <v>0</v>
      </c>
      <c r="D3" s="82">
        <f>2*B5*(B3-B4)*C3</f>
        <v>0</v>
      </c>
      <c r="E3" s="11"/>
      <c r="F3" s="11"/>
      <c r="G3" s="11"/>
      <c r="H3" s="11"/>
      <c r="I3" s="11"/>
    </row>
    <row r="4" ht="20.05" customHeight="1">
      <c r="A4" t="s" s="16">
        <v>28</v>
      </c>
      <c r="B4" s="13">
        <v>-1</v>
      </c>
      <c r="C4" s="15">
        <v>0.25</v>
      </c>
      <c r="D4" s="15">
        <f>2*B5*(B3-B4)*C4</f>
        <v>0.25</v>
      </c>
      <c r="E4" s="14"/>
      <c r="F4" s="14"/>
      <c r="G4" s="14"/>
      <c r="H4" s="14"/>
      <c r="I4" s="14"/>
    </row>
    <row r="5" ht="20.05" customHeight="1">
      <c r="A5" t="s" s="16">
        <v>7</v>
      </c>
      <c r="B5" s="13">
        <v>0.25</v>
      </c>
      <c r="C5" s="15">
        <v>0.5</v>
      </c>
      <c r="D5" s="15">
        <f>2*B5*(B3-B4)*C5</f>
        <v>0.5</v>
      </c>
      <c r="E5" s="14"/>
      <c r="F5" s="14"/>
      <c r="G5" s="14"/>
      <c r="H5" s="14"/>
      <c r="I5" s="14"/>
    </row>
    <row r="6" ht="20.05" customHeight="1">
      <c r="A6" s="12"/>
      <c r="B6" s="20"/>
      <c r="C6" s="15">
        <v>0.75</v>
      </c>
      <c r="D6" s="15">
        <f>2*B5*(B3-B4)*C6</f>
        <v>0.75</v>
      </c>
      <c r="E6" s="14"/>
      <c r="F6" s="14"/>
      <c r="G6" s="14"/>
      <c r="H6" s="14"/>
      <c r="I6" s="14"/>
    </row>
    <row r="7" ht="20.05" customHeight="1">
      <c r="A7" s="12"/>
      <c r="B7" s="20"/>
      <c r="C7" s="15">
        <v>1</v>
      </c>
      <c r="D7" s="15">
        <f>2*B5*(B3-B4)*C7</f>
        <v>1</v>
      </c>
      <c r="E7" s="14"/>
      <c r="F7" s="14"/>
      <c r="G7" s="14"/>
      <c r="H7" s="14"/>
      <c r="I7" s="14"/>
    </row>
    <row r="8" ht="20.05" customHeight="1">
      <c r="A8" s="12"/>
      <c r="B8" s="20"/>
      <c r="C8" s="15">
        <v>1.5</v>
      </c>
      <c r="D8" s="15">
        <f>2*B5*(B3-B4)*C8</f>
        <v>1.5</v>
      </c>
      <c r="E8" s="14"/>
      <c r="F8" s="14"/>
      <c r="G8" s="14"/>
      <c r="H8" s="14"/>
      <c r="I8" s="14"/>
    </row>
    <row r="9" ht="20.05" customHeight="1">
      <c r="A9" s="12"/>
      <c r="B9" s="20"/>
      <c r="C9" s="14"/>
      <c r="D9" s="14"/>
      <c r="E9" s="14"/>
      <c r="F9" s="14"/>
      <c r="G9" s="14"/>
      <c r="H9" s="14"/>
      <c r="I9" s="14"/>
    </row>
    <row r="10" ht="20.05" customHeight="1">
      <c r="A10" s="12"/>
      <c r="B10" s="20"/>
      <c r="C10" s="14"/>
      <c r="D10" s="14"/>
      <c r="E10" s="14"/>
      <c r="F10" s="14"/>
      <c r="G10" s="14"/>
      <c r="H10" s="14"/>
      <c r="I10" s="14"/>
    </row>
    <row r="11" ht="20.05" customHeight="1">
      <c r="A11" s="12"/>
      <c r="B11" s="20"/>
      <c r="C11" s="14"/>
      <c r="D11" s="14"/>
      <c r="E11" s="14"/>
      <c r="F11" s="14"/>
      <c r="G11" s="14"/>
      <c r="H11" s="14"/>
      <c r="I11" s="14"/>
    </row>
    <row r="12" ht="20.05" customHeight="1">
      <c r="A12" s="12"/>
      <c r="B12" s="20"/>
      <c r="C12" s="14"/>
      <c r="D12" s="14"/>
      <c r="E12" s="14"/>
      <c r="F12" s="14"/>
      <c r="G12" s="14"/>
      <c r="H12" s="14"/>
      <c r="I12" s="14"/>
    </row>
    <row r="13" ht="20.05" customHeight="1">
      <c r="A13" s="12"/>
      <c r="B13" s="20"/>
      <c r="C13" s="14"/>
      <c r="D13" s="14"/>
      <c r="E13" s="14"/>
      <c r="F13" s="14"/>
      <c r="G13" s="14"/>
      <c r="H13" s="14"/>
      <c r="I13" s="14"/>
    </row>
    <row r="14" ht="20.05" customHeight="1">
      <c r="A14" s="12"/>
      <c r="B14" s="20"/>
      <c r="C14" s="14"/>
      <c r="D14" s="14"/>
      <c r="E14" s="14"/>
      <c r="F14" s="14"/>
      <c r="G14" s="14"/>
      <c r="H14" s="14"/>
      <c r="I14" s="14"/>
    </row>
    <row r="15" ht="20.05" customHeight="1">
      <c r="A15" s="12"/>
      <c r="B15" s="20"/>
      <c r="C15" s="14"/>
      <c r="D15" s="14"/>
      <c r="E15" s="14"/>
      <c r="F15" s="14"/>
      <c r="G15" s="14"/>
      <c r="H15" s="14"/>
      <c r="I15" s="14"/>
    </row>
    <row r="16" ht="20.05" customHeight="1">
      <c r="A16" s="12"/>
      <c r="B16" s="20"/>
      <c r="C16" s="14"/>
      <c r="D16" s="14"/>
      <c r="E16" s="14"/>
      <c r="F16" s="14"/>
      <c r="G16" s="14"/>
      <c r="H16" s="14"/>
      <c r="I16" s="14"/>
    </row>
    <row r="17" ht="20.05" customHeight="1">
      <c r="A17" s="12"/>
      <c r="B17" s="20"/>
      <c r="C17" s="14"/>
      <c r="D17" s="14"/>
      <c r="E17" s="14"/>
      <c r="F17" s="14"/>
      <c r="G17" s="14"/>
      <c r="H17" s="14"/>
      <c r="I17" s="14"/>
    </row>
    <row r="18" ht="20.05" customHeight="1">
      <c r="A18" s="12"/>
      <c r="B18" s="20"/>
      <c r="C18" s="14"/>
      <c r="D18" s="14"/>
      <c r="E18" s="14"/>
      <c r="F18" s="14"/>
      <c r="G18" s="14"/>
      <c r="H18" s="14"/>
      <c r="I18" s="14"/>
    </row>
    <row r="19" ht="20.05" customHeight="1">
      <c r="A19" s="12"/>
      <c r="B19" s="20"/>
      <c r="C19" s="14"/>
      <c r="D19" s="14"/>
      <c r="E19" s="14"/>
      <c r="F19" s="14"/>
      <c r="G19" s="14"/>
      <c r="H19" s="14"/>
      <c r="I19" s="14"/>
    </row>
    <row r="20" ht="20.05" customHeight="1">
      <c r="A20" s="12"/>
      <c r="B20" s="20"/>
      <c r="C20" s="14"/>
      <c r="D20" s="14"/>
      <c r="E20" s="14"/>
      <c r="F20" s="14"/>
      <c r="G20" s="14"/>
      <c r="H20" s="14"/>
      <c r="I20" s="14"/>
    </row>
    <row r="21" ht="20.05" customHeight="1">
      <c r="A21" s="12"/>
      <c r="B21" s="20"/>
      <c r="C21" s="14"/>
      <c r="D21" s="14"/>
      <c r="E21" s="14"/>
      <c r="F21" s="14"/>
      <c r="G21" s="14"/>
      <c r="H21" s="14"/>
      <c r="I21" s="14"/>
    </row>
    <row r="22" ht="20.05" customHeight="1">
      <c r="A22" s="12"/>
      <c r="B22" s="20"/>
      <c r="C22" s="14"/>
      <c r="D22" s="14"/>
      <c r="E22" s="14"/>
      <c r="F22" s="14"/>
      <c r="G22" s="14"/>
      <c r="H22" s="14"/>
      <c r="I22" s="14"/>
    </row>
  </sheetData>
  <mergeCells count="1">
    <mergeCell ref="A1:I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5.xml><?xml version="1.0" encoding="utf-8"?>
<worksheet xmlns:r="http://schemas.openxmlformats.org/officeDocument/2006/relationships" xmlns="http://schemas.openxmlformats.org/spreadsheetml/2006/main">
  <sheetPr>
    <pageSetUpPr fitToPage="1"/>
  </sheetPr>
  <dimension ref="A2:O3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4.5234" style="83" customWidth="1"/>
    <col min="2" max="2" width="16.4844" style="83" customWidth="1"/>
    <col min="3" max="5" width="14.5234" style="83" customWidth="1"/>
    <col min="6" max="6" width="18.4375" style="83" customWidth="1"/>
    <col min="7" max="7" width="19.6719" style="83" customWidth="1"/>
    <col min="8" max="8" width="14.5234" style="83" customWidth="1"/>
    <col min="9" max="9" width="16.8594" style="83" customWidth="1"/>
    <col min="10" max="15" width="14.5234" style="83" customWidth="1"/>
    <col min="16" max="16384" width="16.3516" style="83" customWidth="1"/>
  </cols>
  <sheetData>
    <row r="1" ht="27.65" customHeight="1">
      <c r="A1" t="s" s="7">
        <v>5</v>
      </c>
      <c r="B1" s="7"/>
      <c r="C1" s="7"/>
      <c r="D1" s="7"/>
      <c r="E1" s="7"/>
      <c r="F1" s="7"/>
      <c r="G1" s="7"/>
      <c r="H1" s="7"/>
      <c r="I1" s="7"/>
      <c r="J1" s="7"/>
      <c r="K1" s="7"/>
      <c r="L1" s="7"/>
      <c r="M1" s="7"/>
      <c r="N1" s="7"/>
      <c r="O1" s="7"/>
    </row>
    <row r="2" ht="28.4" customHeight="1">
      <c r="A2" s="8"/>
      <c r="B2" s="8"/>
      <c r="C2" t="s" s="47">
        <v>78</v>
      </c>
      <c r="D2" s="8"/>
      <c r="E2" s="8"/>
      <c r="F2" s="8"/>
      <c r="G2" s="8"/>
      <c r="H2" s="8"/>
      <c r="I2" s="8"/>
      <c r="J2" s="8"/>
      <c r="K2" s="8"/>
      <c r="L2" s="8"/>
      <c r="M2" s="8"/>
      <c r="N2" s="8"/>
      <c r="O2" s="8"/>
    </row>
    <row r="3" ht="28.4" customHeight="1">
      <c r="A3" s="9"/>
      <c r="B3" t="s" s="84">
        <v>79</v>
      </c>
      <c r="C3" s="85">
        <v>5e-09</v>
      </c>
      <c r="D3" s="11"/>
      <c r="E3" s="11"/>
      <c r="F3" t="s" s="86">
        <v>80</v>
      </c>
      <c r="G3" s="87">
        <f>PI()*C3*C3+2*PI()*C3*C4</f>
        <v>7.85406017379082e-12</v>
      </c>
      <c r="H3" s="11"/>
      <c r="I3" t="s" s="86">
        <v>81</v>
      </c>
      <c r="J3" s="82">
        <f>(C9*C10*G6)/C7</f>
        <v>3.37340773374e-05</v>
      </c>
      <c r="K3" s="11"/>
      <c r="L3" t="s" s="86">
        <v>82</v>
      </c>
      <c r="M3" s="88">
        <f>J3*G15</f>
        <v>0.17134887242759</v>
      </c>
      <c r="N3" s="89"/>
      <c r="O3" s="89"/>
    </row>
    <row r="4" ht="28.1" customHeight="1">
      <c r="A4" s="12"/>
      <c r="B4" t="s" s="53">
        <v>83</v>
      </c>
      <c r="C4" s="90">
        <v>0.00025</v>
      </c>
      <c r="D4" s="14"/>
      <c r="E4" s="14"/>
      <c r="F4" t="s" s="17">
        <v>84</v>
      </c>
      <c r="G4" s="91">
        <f>C5*C6</f>
        <v>7.619999999999999e-08</v>
      </c>
      <c r="H4" s="14"/>
      <c r="I4" t="s" s="17">
        <v>85</v>
      </c>
      <c r="J4" s="15">
        <f>0.5*J3*G9*G9</f>
        <v>16.8670386687</v>
      </c>
      <c r="K4" s="14"/>
      <c r="L4" t="s" s="17">
        <v>86</v>
      </c>
      <c r="M4" s="21">
        <f>J4*G15</f>
        <v>85674.4362137948</v>
      </c>
      <c r="N4" s="92"/>
      <c r="O4" s="92"/>
    </row>
    <row r="5" ht="28.1" customHeight="1">
      <c r="A5" s="12"/>
      <c r="B5" t="s" s="53">
        <v>87</v>
      </c>
      <c r="C5" s="93">
        <v>3e-06</v>
      </c>
      <c r="D5" s="14"/>
      <c r="E5" s="14"/>
      <c r="F5" t="s" s="17">
        <v>88</v>
      </c>
      <c r="G5" s="93">
        <f>(G4)/(PI()*C3*C3)</f>
        <v>970208533.088194</v>
      </c>
      <c r="H5" s="14"/>
      <c r="I5" s="14"/>
      <c r="J5" s="14"/>
      <c r="K5" s="14"/>
      <c r="L5" t="s" s="17">
        <v>89</v>
      </c>
      <c r="M5" s="15">
        <f>M4/54000</f>
        <v>1.58656363358879</v>
      </c>
      <c r="N5" s="15">
        <f>M5/H25</f>
        <v>2774.070867872580</v>
      </c>
      <c r="O5" t="s" s="17">
        <v>90</v>
      </c>
    </row>
    <row r="6" ht="28.1" customHeight="1">
      <c r="A6" s="12"/>
      <c r="B6" t="s" s="53">
        <v>91</v>
      </c>
      <c r="C6" s="94">
        <v>0.0254</v>
      </c>
      <c r="D6" s="14"/>
      <c r="E6" s="14"/>
      <c r="F6" t="s" s="17">
        <v>92</v>
      </c>
      <c r="G6" s="95">
        <f>G5*G3</f>
        <v>0.0076200762</v>
      </c>
      <c r="H6" s="14"/>
      <c r="I6" s="14"/>
      <c r="J6" s="14"/>
      <c r="K6" s="14"/>
      <c r="L6" t="s" s="17">
        <v>93</v>
      </c>
      <c r="M6" s="15">
        <f>(M5*1000)/G10</f>
        <v>528.854544529597</v>
      </c>
      <c r="N6" s="15">
        <f>M6/H25</f>
        <v>924690.2892908599</v>
      </c>
      <c r="O6" t="s" s="17">
        <v>94</v>
      </c>
    </row>
    <row r="7" ht="28.1" customHeight="1">
      <c r="A7" s="12"/>
      <c r="B7" t="s" s="53">
        <v>95</v>
      </c>
      <c r="C7" s="93">
        <v>2e-06</v>
      </c>
      <c r="D7" s="14"/>
      <c r="E7" s="14"/>
      <c r="F7" s="14"/>
      <c r="G7" s="14"/>
      <c r="H7" s="14"/>
      <c r="I7" s="14"/>
      <c r="J7" s="14"/>
      <c r="K7" s="14"/>
      <c r="L7" s="14"/>
      <c r="M7" s="14"/>
      <c r="N7" s="14"/>
      <c r="O7" s="14"/>
    </row>
    <row r="8" ht="28.1" customHeight="1">
      <c r="A8" s="12"/>
      <c r="B8" s="20"/>
      <c r="C8" s="14"/>
      <c r="D8" s="14"/>
      <c r="E8" s="14"/>
      <c r="F8" s="14"/>
      <c r="G8" s="14"/>
      <c r="H8" s="14"/>
      <c r="I8" s="14"/>
      <c r="J8" s="14"/>
      <c r="K8" s="14"/>
      <c r="L8" s="14"/>
      <c r="M8" s="14"/>
      <c r="N8" s="14"/>
      <c r="O8" s="14"/>
    </row>
    <row r="9" ht="28.1" customHeight="1">
      <c r="A9" s="12"/>
      <c r="B9" t="s" s="53">
        <v>96</v>
      </c>
      <c r="C9" s="96">
        <v>8.853999999999999e-12</v>
      </c>
      <c r="D9" s="14"/>
      <c r="E9" s="14"/>
      <c r="F9" t="s" s="17">
        <v>97</v>
      </c>
      <c r="G9" s="15">
        <v>1000</v>
      </c>
      <c r="H9" s="14"/>
      <c r="I9" t="s" s="17">
        <v>98</v>
      </c>
      <c r="J9" s="15">
        <v>1</v>
      </c>
      <c r="K9" s="14"/>
      <c r="L9" s="14"/>
      <c r="M9" s="14"/>
      <c r="N9" s="14"/>
      <c r="O9" s="14"/>
    </row>
    <row r="10" ht="28.1" customHeight="1">
      <c r="A10" s="12"/>
      <c r="B10" t="s" s="53">
        <v>99</v>
      </c>
      <c r="C10" s="15">
        <v>1000</v>
      </c>
      <c r="D10" s="14"/>
      <c r="E10" s="14"/>
      <c r="F10" t="s" s="17">
        <v>100</v>
      </c>
      <c r="G10" s="15">
        <v>3</v>
      </c>
      <c r="H10" s="14"/>
      <c r="I10" s="14"/>
      <c r="J10" s="14"/>
      <c r="K10" s="14"/>
      <c r="L10" s="14"/>
      <c r="M10" s="14"/>
      <c r="N10" s="14"/>
      <c r="O10" s="14"/>
    </row>
    <row r="11" ht="28.1" customHeight="1">
      <c r="A11" s="12"/>
      <c r="B11" t="s" s="53">
        <v>101</v>
      </c>
      <c r="C11" s="71">
        <v>12000000</v>
      </c>
      <c r="D11" s="14"/>
      <c r="E11" s="14"/>
      <c r="F11" s="14"/>
      <c r="G11" s="14"/>
      <c r="H11" s="14"/>
      <c r="I11" t="s" s="17">
        <v>102</v>
      </c>
      <c r="J11" s="21">
        <f>J3*G9/J9</f>
        <v>0.0337340773374</v>
      </c>
      <c r="K11" s="14"/>
      <c r="L11" t="s" s="17">
        <v>103</v>
      </c>
      <c r="M11" s="15">
        <f>M3*G9/J9</f>
        <v>171.348872427590</v>
      </c>
      <c r="N11" s="15">
        <f>M11/60</f>
        <v>2.85581454045983</v>
      </c>
      <c r="O11" t="s" s="17">
        <v>104</v>
      </c>
    </row>
    <row r="12" ht="28.1" customHeight="1">
      <c r="A12" s="12"/>
      <c r="B12" t="s" s="53">
        <v>105</v>
      </c>
      <c r="C12" s="15">
        <v>1200</v>
      </c>
      <c r="D12" s="14"/>
      <c r="E12" s="14"/>
      <c r="F12" s="14"/>
      <c r="G12" s="14"/>
      <c r="H12" s="14"/>
      <c r="I12" s="14"/>
      <c r="J12" s="14"/>
      <c r="K12" s="14"/>
      <c r="L12" s="14"/>
      <c r="M12" s="14"/>
      <c r="N12" s="14"/>
      <c r="O12" s="14"/>
    </row>
    <row r="13" ht="28.1" customHeight="1">
      <c r="A13" s="12"/>
      <c r="B13" s="20"/>
      <c r="C13" s="14"/>
      <c r="D13" s="14"/>
      <c r="E13" s="14"/>
      <c r="F13" s="14"/>
      <c r="G13" s="14"/>
      <c r="H13" s="14"/>
      <c r="I13" s="14"/>
      <c r="J13" s="14"/>
      <c r="K13" s="14"/>
      <c r="L13" s="14"/>
      <c r="M13" s="14"/>
      <c r="N13" s="14"/>
      <c r="O13" s="14"/>
    </row>
    <row r="14" ht="28.1" customHeight="1">
      <c r="A14" s="12"/>
      <c r="B14" t="s" s="53">
        <v>106</v>
      </c>
      <c r="C14" s="94">
        <v>0.0254</v>
      </c>
      <c r="D14" t="s" s="17">
        <v>107</v>
      </c>
      <c r="E14" s="14"/>
      <c r="F14" t="s" s="17">
        <v>108</v>
      </c>
      <c r="G14" s="97">
        <f>C14*C15</f>
        <v>0.00064516</v>
      </c>
      <c r="H14" s="14"/>
      <c r="I14" s="14"/>
      <c r="J14" s="14"/>
      <c r="K14" s="14"/>
      <c r="L14" s="14"/>
      <c r="M14" s="14"/>
      <c r="N14" s="14"/>
      <c r="O14" s="14"/>
    </row>
    <row r="15" ht="28.1" customHeight="1">
      <c r="A15" s="12"/>
      <c r="B15" t="s" s="53">
        <v>109</v>
      </c>
      <c r="C15" s="94">
        <v>0.0254</v>
      </c>
      <c r="D15" t="s" s="17">
        <v>107</v>
      </c>
      <c r="E15" s="14"/>
      <c r="F15" t="s" s="17">
        <v>110</v>
      </c>
      <c r="G15" s="98">
        <f>(C15-C5)/(C5+C7)+L2:L31+L2:L31+L2:L31</f>
        <v>5079.4</v>
      </c>
      <c r="H15" s="14"/>
      <c r="I15" s="14"/>
      <c r="J15" s="14"/>
      <c r="K15" s="14"/>
      <c r="L15" s="14"/>
      <c r="M15" s="14"/>
      <c r="N15" s="14"/>
      <c r="O15" s="14"/>
    </row>
    <row r="16" ht="28.1" customHeight="1">
      <c r="A16" s="12"/>
      <c r="B16" s="20"/>
      <c r="C16" s="14"/>
      <c r="D16" s="14"/>
      <c r="E16" s="14"/>
      <c r="F16" s="14"/>
      <c r="G16" s="14"/>
      <c r="H16" s="14"/>
      <c r="I16" s="14"/>
      <c r="J16" s="14"/>
      <c r="K16" s="14"/>
      <c r="L16" s="14"/>
      <c r="M16" s="14"/>
      <c r="N16" s="14"/>
      <c r="O16" s="14"/>
    </row>
    <row r="17" ht="28.1" customHeight="1">
      <c r="A17" s="12"/>
      <c r="B17" t="s" s="53">
        <v>111</v>
      </c>
      <c r="C17" s="94">
        <v>0.0003</v>
      </c>
      <c r="D17" s="14"/>
      <c r="E17" s="14"/>
      <c r="F17" t="s" s="17">
        <v>112</v>
      </c>
      <c r="G17" s="99">
        <f>(2*C5+C7)*C6*C17</f>
        <v>6.096e-11</v>
      </c>
      <c r="H17" t="s" s="17">
        <v>113</v>
      </c>
      <c r="I17" s="100">
        <f>G17+G18+G19+G20+G21+G22+G23</f>
        <v>1.12597184e-10</v>
      </c>
      <c r="J17" s="14"/>
      <c r="K17" s="14"/>
      <c r="L17" s="14"/>
      <c r="M17" s="14"/>
      <c r="N17" s="14"/>
      <c r="O17" s="14"/>
    </row>
    <row r="18" ht="28.1" customHeight="1">
      <c r="A18" s="12"/>
      <c r="B18" t="s" s="53">
        <v>114</v>
      </c>
      <c r="C18" s="101">
        <f>C19+0.000001+0.000001</f>
        <v>2.1e-06</v>
      </c>
      <c r="D18" s="93">
        <v>1e-06</v>
      </c>
      <c r="E18" s="14"/>
      <c r="F18" t="s" s="17">
        <v>115</v>
      </c>
      <c r="G18" s="102">
        <f>4*C5*C6*D18+(C7*C6*(2*D18+C19))</f>
        <v>4.1148e-13</v>
      </c>
      <c r="H18" s="14"/>
      <c r="I18" s="14"/>
      <c r="J18" s="14"/>
      <c r="K18" s="14"/>
      <c r="L18" s="14"/>
      <c r="M18" s="14"/>
      <c r="N18" s="14"/>
      <c r="O18" s="14"/>
    </row>
    <row r="19" ht="28.1" customHeight="1">
      <c r="A19" s="12"/>
      <c r="B19" t="s" s="53">
        <v>116</v>
      </c>
      <c r="C19" s="101">
        <v>1e-07</v>
      </c>
      <c r="D19" s="14"/>
      <c r="E19" s="14"/>
      <c r="F19" t="s" s="17">
        <v>117</v>
      </c>
      <c r="G19" s="102">
        <f>2*(C5*C6*C19)</f>
        <v>1.524e-14</v>
      </c>
      <c r="H19" s="14"/>
      <c r="I19" s="14"/>
      <c r="J19" s="14"/>
      <c r="K19" s="14"/>
      <c r="L19" s="14"/>
      <c r="M19" s="14"/>
      <c r="N19" s="14"/>
      <c r="O19" s="14"/>
    </row>
    <row r="20" ht="28.1" customHeight="1">
      <c r="A20" s="12"/>
      <c r="B20" t="s" s="53">
        <v>118</v>
      </c>
      <c r="C20" s="97">
        <v>1e-08</v>
      </c>
      <c r="D20" s="14"/>
      <c r="E20" s="14"/>
      <c r="F20" t="s" s="17">
        <v>119</v>
      </c>
      <c r="G20" s="100">
        <f>2*C5*C6*C20</f>
        <v>1.524e-15</v>
      </c>
      <c r="H20" s="14"/>
      <c r="I20" s="14"/>
      <c r="J20" s="14"/>
      <c r="K20" s="14"/>
      <c r="L20" s="14"/>
      <c r="M20" s="14"/>
      <c r="N20" s="14"/>
      <c r="O20" s="14"/>
    </row>
    <row r="21" ht="28.1" customHeight="1">
      <c r="A21" s="12"/>
      <c r="B21" t="s" s="53">
        <v>120</v>
      </c>
      <c r="C21" s="97">
        <v>1e-08</v>
      </c>
      <c r="D21" s="14"/>
      <c r="E21" s="14"/>
      <c r="F21" t="s" s="17">
        <v>121</v>
      </c>
      <c r="G21" s="100">
        <f>2*C5*C6*C21</f>
        <v>1.524e-15</v>
      </c>
      <c r="H21" s="14"/>
      <c r="I21" s="14"/>
      <c r="J21" s="14"/>
      <c r="K21" s="14"/>
      <c r="L21" s="14"/>
      <c r="M21" s="14"/>
      <c r="N21" s="14"/>
      <c r="O21" s="14"/>
    </row>
    <row r="22" ht="28.1" customHeight="1">
      <c r="A22" s="12"/>
      <c r="B22" t="s" s="53">
        <v>122</v>
      </c>
      <c r="C22" s="90">
        <f>C4</f>
        <v>0.00025</v>
      </c>
      <c r="D22" s="14"/>
      <c r="E22" s="14"/>
      <c r="F22" t="s" s="17">
        <v>123</v>
      </c>
      <c r="G22" s="103">
        <f>2*C5*C6*C4</f>
        <v>3.81e-11</v>
      </c>
      <c r="H22" s="14"/>
      <c r="I22" s="14"/>
      <c r="J22" s="14"/>
      <c r="K22" s="14"/>
      <c r="L22" s="14"/>
      <c r="M22" s="14"/>
      <c r="N22" s="14"/>
      <c r="O22" s="14"/>
    </row>
    <row r="23" ht="28.1" customHeight="1">
      <c r="A23" s="12"/>
      <c r="B23" t="s" s="53">
        <v>124</v>
      </c>
      <c r="C23" s="93">
        <f>C4+0.000002</f>
        <v>0.000252</v>
      </c>
      <c r="D23" s="93">
        <v>2e-06</v>
      </c>
      <c r="E23" s="14"/>
      <c r="F23" t="s" s="17">
        <v>125</v>
      </c>
      <c r="G23" s="100">
        <f>(2*C5+C7)*C6*D23+(C7*C6*(C20+C21+C22))</f>
        <v>0.000000000013</v>
      </c>
      <c r="H23" s="14"/>
      <c r="I23" s="14"/>
      <c r="J23" s="14"/>
      <c r="K23" s="14"/>
      <c r="L23" s="14"/>
      <c r="M23" s="14"/>
      <c r="N23" s="14"/>
      <c r="O23" s="14"/>
    </row>
    <row r="24" ht="28.1" customHeight="1">
      <c r="A24" s="12"/>
      <c r="B24" t="s" s="53">
        <v>126</v>
      </c>
      <c r="C24" s="97">
        <f>C17+C18+C20+C21+C23</f>
        <v>0.00055412</v>
      </c>
      <c r="D24" s="14"/>
      <c r="E24" s="14"/>
      <c r="F24" t="s" s="17">
        <v>127</v>
      </c>
      <c r="G24" s="100">
        <f>(2*C5+C7)*C6*C24</f>
        <v>1.12597184e-10</v>
      </c>
      <c r="H24" s="96">
        <f>G24*1000</f>
        <v>1.12597184e-07</v>
      </c>
      <c r="I24" t="s" s="17">
        <v>128</v>
      </c>
      <c r="J24" s="14"/>
      <c r="K24" s="14"/>
      <c r="L24" s="14"/>
      <c r="M24" s="14"/>
      <c r="N24" s="14"/>
      <c r="O24" s="14"/>
    </row>
    <row r="25" ht="28.1" customHeight="1">
      <c r="A25" s="12"/>
      <c r="B25" s="20"/>
      <c r="C25" s="14"/>
      <c r="D25" s="14"/>
      <c r="E25" s="14"/>
      <c r="F25" t="s" s="17">
        <v>129</v>
      </c>
      <c r="G25" s="104">
        <f>G24*G15</f>
        <v>5.719261364096e-07</v>
      </c>
      <c r="H25" s="105">
        <f>G25*1000</f>
        <v>0.0005719261364096</v>
      </c>
      <c r="I25" t="s" s="17">
        <v>128</v>
      </c>
      <c r="J25" s="14"/>
      <c r="K25" s="14"/>
      <c r="L25" s="14"/>
      <c r="M25" s="14"/>
      <c r="N25" s="14"/>
      <c r="O25" s="14"/>
    </row>
    <row r="26" ht="28.1" customHeight="1">
      <c r="A26" s="12"/>
      <c r="B26" s="20"/>
      <c r="C26" s="14"/>
      <c r="D26" s="14"/>
      <c r="E26" s="14"/>
      <c r="F26" s="14"/>
      <c r="G26" s="14"/>
      <c r="H26" s="14"/>
      <c r="I26" s="14"/>
      <c r="J26" s="14"/>
      <c r="K26" t="s" s="17">
        <v>130</v>
      </c>
      <c r="L26" s="14"/>
      <c r="M26" s="14"/>
      <c r="N26" s="14"/>
      <c r="O26" s="14"/>
    </row>
    <row r="27" ht="28.1" customHeight="1">
      <c r="A27" t="s" s="16">
        <v>131</v>
      </c>
      <c r="B27" t="s" s="106">
        <v>132</v>
      </c>
      <c r="C27" s="14"/>
      <c r="D27" t="s" s="17">
        <v>133</v>
      </c>
      <c r="E27" t="s" s="17">
        <v>134</v>
      </c>
      <c r="F27" t="s" s="107">
        <v>135</v>
      </c>
      <c r="G27" s="14"/>
      <c r="H27" t="s" s="17">
        <v>136</v>
      </c>
      <c r="I27" s="14"/>
      <c r="J27" t="s" s="17">
        <v>137</v>
      </c>
      <c r="K27" t="s" s="17">
        <v>138</v>
      </c>
      <c r="L27" t="s" s="17">
        <v>139</v>
      </c>
      <c r="M27" s="14"/>
      <c r="N27" s="14"/>
      <c r="O27" s="14"/>
    </row>
    <row r="28" ht="28.1" customHeight="1">
      <c r="A28" s="108">
        <v>2.65</v>
      </c>
      <c r="B28" t="s" s="53">
        <v>140</v>
      </c>
      <c r="C28" s="91">
        <v>2.82e-08</v>
      </c>
      <c r="D28" s="15">
        <v>2600</v>
      </c>
      <c r="E28" s="15">
        <f>G20*D28</f>
        <v>3.9624e-12</v>
      </c>
      <c r="F28" s="71">
        <f>(C28*C6)/(C5*C20)</f>
        <v>23876</v>
      </c>
      <c r="G28" s="14"/>
      <c r="H28" s="15">
        <f>F28*J9*J9</f>
        <v>23876</v>
      </c>
      <c r="I28" s="14"/>
      <c r="J28" s="15">
        <f>H28*J11</f>
        <v>805.4348305077619</v>
      </c>
      <c r="K28" s="15">
        <v>921</v>
      </c>
      <c r="L28" s="15">
        <f>J28/(E28*K28)</f>
        <v>220705146977.616</v>
      </c>
      <c r="M28" s="14"/>
      <c r="N28" s="14"/>
      <c r="O28" s="14"/>
    </row>
    <row r="29" ht="28.1" customHeight="1">
      <c r="A29" s="12"/>
      <c r="B29" t="s" s="53">
        <v>141</v>
      </c>
      <c r="C29" s="93">
        <v>4.2e-05</v>
      </c>
      <c r="D29" s="15">
        <v>4510</v>
      </c>
      <c r="E29" s="15">
        <f>D29*G19</f>
        <v>6.873239999999999e-11</v>
      </c>
      <c r="F29" s="71">
        <f>(C29*C6)/(C5*C19)</f>
        <v>3556000</v>
      </c>
      <c r="G29" s="14"/>
      <c r="H29" s="15">
        <f>F29*J9*J9</f>
        <v>3556000</v>
      </c>
      <c r="I29" s="14"/>
      <c r="J29" s="15">
        <f>H29*J11</f>
        <v>119958.379011794</v>
      </c>
      <c r="K29" s="15">
        <v>1262</v>
      </c>
      <c r="L29" s="15">
        <f>J29/(E29*K29)</f>
        <v>1382960336786.36</v>
      </c>
      <c r="M29" s="14"/>
      <c r="N29" s="14"/>
      <c r="O29" s="14"/>
    </row>
    <row r="30" ht="28.1" customHeight="1">
      <c r="A30" s="12"/>
      <c r="B30" t="s" s="53">
        <v>142</v>
      </c>
      <c r="C30" s="101">
        <v>1e-07</v>
      </c>
      <c r="D30" s="15">
        <v>7870</v>
      </c>
      <c r="E30" s="15">
        <f>D30*G21</f>
        <v>1.199388e-11</v>
      </c>
      <c r="F30" s="91">
        <f>(C30*C6)/(C5*C21)</f>
        <v>84666.6666666667</v>
      </c>
      <c r="G30" s="14"/>
      <c r="H30" s="15">
        <f>F30*J9*J9</f>
        <v>84666.6666666667</v>
      </c>
      <c r="I30" s="14"/>
      <c r="J30" s="15">
        <f>H30*J11</f>
        <v>2856.1518812332</v>
      </c>
      <c r="K30" s="15">
        <v>554</v>
      </c>
      <c r="L30" s="15">
        <f>J30/(E30*K30)</f>
        <v>429844955167.99</v>
      </c>
      <c r="M30" s="14"/>
      <c r="N30" s="14"/>
      <c r="O30" s="14"/>
    </row>
    <row r="31" ht="28.1" customHeight="1">
      <c r="A31" s="12"/>
      <c r="B31" t="s" s="53">
        <v>143</v>
      </c>
      <c r="C31" s="93">
        <v>5e-06</v>
      </c>
      <c r="D31" s="15">
        <v>3510</v>
      </c>
      <c r="E31" s="15">
        <f>D31*G22</f>
        <v>1.33731e-07</v>
      </c>
      <c r="F31" s="109">
        <f>(C31*C6)/(C5*C22)</f>
        <v>169.333333333333</v>
      </c>
      <c r="G31" s="14"/>
      <c r="H31" s="15">
        <f>F31*J9*J9</f>
        <v>169.333333333333</v>
      </c>
      <c r="I31" s="14"/>
      <c r="J31" s="15">
        <f>H31*J11</f>
        <v>5.71230376246639</v>
      </c>
      <c r="K31" s="15">
        <v>521</v>
      </c>
      <c r="L31" s="15">
        <f>J31/(E31*K31)</f>
        <v>81986.336056928907</v>
      </c>
      <c r="M31" s="14"/>
      <c r="N31" s="14"/>
      <c r="O31" s="14"/>
    </row>
  </sheetData>
  <mergeCells count="1">
    <mergeCell ref="A1:O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2:G3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2" width="13.7344" style="110" customWidth="1"/>
    <col min="3" max="3" width="18.8672" style="110" customWidth="1"/>
    <col min="4" max="4" width="35.375" style="110" customWidth="1"/>
    <col min="5" max="6" width="13.7344" style="110" customWidth="1"/>
    <col min="7" max="7" width="16.7734" style="110" customWidth="1"/>
    <col min="8" max="16384" width="16.3516" style="110" customWidth="1"/>
  </cols>
  <sheetData>
    <row r="1" ht="27.65" customHeight="1">
      <c r="A1" t="s" s="7">
        <v>5</v>
      </c>
      <c r="B1" s="7"/>
      <c r="C1" s="7"/>
      <c r="D1" s="7"/>
      <c r="E1" s="7"/>
      <c r="F1" s="7"/>
      <c r="G1" s="7"/>
    </row>
    <row r="2" ht="24.5" customHeight="1">
      <c r="A2" s="8"/>
      <c r="B2" s="8"/>
      <c r="C2" s="8"/>
      <c r="D2" s="8"/>
      <c r="E2" s="8"/>
      <c r="F2" s="8"/>
      <c r="G2" s="8"/>
    </row>
    <row r="3" ht="24.5" customHeight="1">
      <c r="A3" s="9"/>
      <c r="B3" t="s" s="84">
        <v>8</v>
      </c>
      <c r="C3" s="111">
        <v>1e-15</v>
      </c>
      <c r="D3" t="s" s="86">
        <v>145</v>
      </c>
      <c r="E3" s="11"/>
      <c r="F3" s="11"/>
      <c r="G3" s="11"/>
    </row>
    <row r="4" ht="24.25" customHeight="1">
      <c r="A4" s="12"/>
      <c r="B4" t="s" s="53">
        <v>146</v>
      </c>
      <c r="C4" s="15">
        <v>1</v>
      </c>
      <c r="D4" s="14"/>
      <c r="E4" t="s" s="17">
        <v>147</v>
      </c>
      <c r="F4" s="15">
        <f>C4*C4</f>
        <v>1</v>
      </c>
      <c r="G4" s="14"/>
    </row>
    <row r="5" ht="24.25" customHeight="1">
      <c r="A5" s="12"/>
      <c r="B5" t="s" s="53">
        <v>148</v>
      </c>
      <c r="C5" s="112">
        <v>1.6e-19</v>
      </c>
      <c r="D5" s="113"/>
      <c r="E5" t="s" s="114">
        <v>149</v>
      </c>
      <c r="F5" s="115">
        <f>C5*C5</f>
        <v>2.56e-38</v>
      </c>
      <c r="G5" s="14"/>
    </row>
    <row r="6" ht="24.25" customHeight="1">
      <c r="A6" s="12"/>
      <c r="B6" t="s" s="53">
        <v>150</v>
      </c>
      <c r="C6" s="116">
        <f>C3*1000</f>
        <v>1e-12</v>
      </c>
      <c r="D6" t="s" s="117">
        <v>151</v>
      </c>
      <c r="E6" t="s" s="118">
        <v>152</v>
      </c>
      <c r="F6" s="119"/>
      <c r="G6" s="14"/>
    </row>
    <row r="7" ht="24.25" customHeight="1">
      <c r="A7" s="12"/>
      <c r="B7" t="s" s="53">
        <v>153</v>
      </c>
      <c r="C7" s="15">
        <v>78.48999999999999</v>
      </c>
      <c r="D7" s="120"/>
      <c r="E7" t="s" s="121">
        <v>154</v>
      </c>
      <c r="F7" s="71">
        <f>C5*C12</f>
        <v>96352</v>
      </c>
      <c r="G7" s="14"/>
    </row>
    <row r="8" ht="24.25" customHeight="1">
      <c r="A8" s="12"/>
      <c r="B8" t="s" s="53">
        <v>155</v>
      </c>
      <c r="C8" s="96">
        <v>8.853999999999999e-12</v>
      </c>
      <c r="D8" s="14"/>
      <c r="E8" t="s" s="17">
        <v>156</v>
      </c>
      <c r="F8" s="15">
        <v>100</v>
      </c>
      <c r="G8" t="s" s="17">
        <v>157</v>
      </c>
    </row>
    <row r="9" ht="24.25" customHeight="1">
      <c r="A9" s="12"/>
      <c r="B9" t="s" s="53">
        <v>158</v>
      </c>
      <c r="C9" s="122">
        <v>1.38e-23</v>
      </c>
      <c r="D9" s="14"/>
      <c r="E9" t="s" s="17">
        <v>159</v>
      </c>
      <c r="F9" s="15">
        <f>F8*F7</f>
        <v>9635200</v>
      </c>
      <c r="G9" s="14"/>
    </row>
    <row r="10" ht="24.25" customHeight="1">
      <c r="A10" s="12"/>
      <c r="B10" t="s" s="53">
        <v>42</v>
      </c>
      <c r="C10" s="15">
        <v>298.1</v>
      </c>
      <c r="D10" s="14"/>
      <c r="E10" t="s" s="17">
        <v>160</v>
      </c>
      <c r="F10" s="123">
        <f>C6*C12</f>
        <v>602200000000</v>
      </c>
      <c r="G10" s="14"/>
    </row>
    <row r="11" ht="24.25" customHeight="1">
      <c r="A11" s="12"/>
      <c r="B11" t="s" s="53">
        <v>161</v>
      </c>
      <c r="C11" s="124">
        <v>0.05</v>
      </c>
      <c r="D11" s="14"/>
      <c r="E11" t="s" s="17">
        <v>162</v>
      </c>
      <c r="F11" s="15">
        <v>0.7716</v>
      </c>
      <c r="G11" t="s" s="125">
        <v>163</v>
      </c>
    </row>
    <row r="12" ht="24.25" customHeight="1">
      <c r="A12" s="12"/>
      <c r="B12" t="s" s="53">
        <v>164</v>
      </c>
      <c r="C12" s="71">
        <v>6.022e+23</v>
      </c>
      <c r="D12" s="14"/>
      <c r="E12" t="s" s="126">
        <v>165</v>
      </c>
      <c r="F12" s="55">
        <f>F11/F13</f>
        <v>0.5106002087293861</v>
      </c>
      <c r="G12" s="54">
        <f>F12*F12</f>
        <v>0.260712573154493</v>
      </c>
    </row>
    <row r="13" ht="24.25" customHeight="1">
      <c r="A13" s="12"/>
      <c r="B13" t="s" s="53">
        <v>166</v>
      </c>
      <c r="C13" s="127">
        <f>(SQRT((2*F4*F5*C12*C6*C7*C8)/(C9*C10)))*(COSH((C4*C5*C11)/(2*C9*C10)))</f>
        <v>1.09061879859567e-07</v>
      </c>
      <c r="D13" s="14"/>
      <c r="E13" s="128">
        <f>SQRT((2*C4*C4*C5*C5*C12*C6*C7*C8)/(C9*C10))</f>
        <v>7.217083802580909e-08</v>
      </c>
      <c r="F13" s="62">
        <f>COSH((C4*C5*C11)/(2*C9*C10))</f>
        <v>1.5111627194985</v>
      </c>
      <c r="G13" s="14"/>
    </row>
    <row r="14" ht="24.25" customHeight="1">
      <c r="A14" s="12"/>
      <c r="B14" s="20"/>
      <c r="C14" t="s" s="17">
        <v>167</v>
      </c>
      <c r="D14" s="129">
        <f>C13*C23</f>
        <v>3.4277447727777e-19</v>
      </c>
      <c r="E14" t="s" s="130">
        <v>168</v>
      </c>
      <c r="F14" t="s" s="131">
        <v>169</v>
      </c>
      <c r="G14" s="21">
        <f>(G12*C9*C10)/(2*C4*C4*C5*C5*C7*C8)</f>
        <v>3.01424973040831e+25</v>
      </c>
    </row>
    <row r="15" ht="24.25" customHeight="1">
      <c r="A15" s="12"/>
      <c r="B15" t="s" s="53">
        <v>170</v>
      </c>
      <c r="C15" s="15">
        <f>SQRT((C9*C10*C8*C7)/(2*C4*C4*C5*C5*C12*C6))</f>
        <v>0.00962924193496933</v>
      </c>
      <c r="D15" s="14"/>
      <c r="E15" s="15">
        <f>SQRT((C7*C8*C9*C10)/(2*C5*C5*C12))</f>
        <v>9.629241934969331e-09</v>
      </c>
      <c r="F15" s="14"/>
      <c r="G15" t="s" s="132">
        <v>150</v>
      </c>
    </row>
    <row r="16" ht="24.25" customHeight="1">
      <c r="A16" s="12"/>
      <c r="B16" t="s" s="53">
        <v>171</v>
      </c>
      <c r="C16" s="133">
        <f>(C8*C7)/C15</f>
        <v>7.217083802580909e-08</v>
      </c>
      <c r="D16" t="s" s="17">
        <v>172</v>
      </c>
      <c r="E16" s="14"/>
      <c r="F16" t="s" s="126">
        <v>173</v>
      </c>
      <c r="G16" s="55">
        <f>G14/C12</f>
        <v>50.0539643043559</v>
      </c>
    </row>
    <row r="17" ht="24.25" customHeight="1">
      <c r="A17" s="12"/>
      <c r="B17" s="20"/>
      <c r="C17" s="127">
        <f>C16*F13</f>
        <v>1.09061879859567e-07</v>
      </c>
      <c r="D17" s="104">
        <f>C17*1000000/10000</f>
        <v>1.09061879859567e-05</v>
      </c>
      <c r="E17" t="s" s="17">
        <v>174</v>
      </c>
      <c r="F17" s="14"/>
      <c r="G17" s="14"/>
    </row>
    <row r="18" ht="24.25" customHeight="1">
      <c r="A18" s="12"/>
      <c r="B18" s="20"/>
      <c r="C18" t="s" s="17">
        <v>175</v>
      </c>
      <c r="D18" s="134">
        <f>D14*C39</f>
        <v>1.09064606406563e-13</v>
      </c>
      <c r="E18" s="14"/>
      <c r="F18" s="15">
        <f>SQRT((2*C6*C4*C4*C19*C19*C7*C8)/(C20*C10))*COSH((C4*C19*C11)/(2*C20*C10))</f>
        <v>1.09061879859567e-07</v>
      </c>
      <c r="G18" s="14"/>
    </row>
    <row r="19" ht="24.25" customHeight="1">
      <c r="A19" s="12"/>
      <c r="B19" t="s" s="53">
        <v>176</v>
      </c>
      <c r="C19" s="71">
        <f>C5*C12</f>
        <v>96352</v>
      </c>
      <c r="D19" s="14"/>
      <c r="E19" s="14"/>
      <c r="F19" s="14"/>
      <c r="G19" s="14"/>
    </row>
    <row r="20" ht="24.25" customHeight="1">
      <c r="A20" s="12"/>
      <c r="B20" t="s" s="53">
        <v>177</v>
      </c>
      <c r="C20" s="90">
        <f>C9*C12</f>
        <v>8.310359999999999</v>
      </c>
      <c r="D20" s="14"/>
      <c r="E20" t="s" s="17">
        <v>162</v>
      </c>
      <c r="F20" s="15">
        <f>SQRT((2*C6*C4*C4*C19*C19*C7*C8)/(C20*C10))*COSH((C4*C19*C11)/(2*C20*C10))</f>
        <v>1.09061879859567e-07</v>
      </c>
      <c r="G20" s="14"/>
    </row>
    <row r="21" ht="24.25" customHeight="1">
      <c r="A21" s="12"/>
      <c r="B21" t="s" s="53">
        <v>178</v>
      </c>
      <c r="C21" s="135">
        <v>5e-09</v>
      </c>
      <c r="D21" s="14"/>
      <c r="E21" s="14"/>
      <c r="F21" s="136"/>
      <c r="G21" t="s" s="137">
        <v>168</v>
      </c>
    </row>
    <row r="22" ht="24.25" customHeight="1">
      <c r="A22" s="12"/>
      <c r="B22" t="s" s="53">
        <v>179</v>
      </c>
      <c r="C22" s="94">
        <v>0.0001</v>
      </c>
      <c r="D22" s="15">
        <f>(2*F5*C7*C8*C12)/(C9*C10)</f>
        <v>0.00520862986134757</v>
      </c>
      <c r="E22" s="14"/>
      <c r="F22" s="56">
        <f>(2*C7*C8*C5*C5*C12)/(C9*C10)</f>
        <v>0.00520862986134757</v>
      </c>
      <c r="G22" s="56">
        <f>SQRT(F22)</f>
        <v>0.07217083802580911</v>
      </c>
    </row>
    <row r="23" ht="24.25" customHeight="1">
      <c r="A23" s="12"/>
      <c r="B23" t="s" s="53">
        <v>180</v>
      </c>
      <c r="C23" s="138">
        <f>((22/7)*C21*C21)+(2*(22/7)*C22*C21)</f>
        <v>3.14293571428571e-12</v>
      </c>
      <c r="D23" s="15">
        <f>(2*C4*C4*C5*C5*C12*C8*C7*100*100000)/(C10*C9)</f>
        <v>52086.2986134757</v>
      </c>
      <c r="E23" s="14"/>
      <c r="F23" s="54">
        <f>C5/(2*C10*C9)</f>
        <v>19.4468347845534</v>
      </c>
      <c r="G23" t="s" s="125">
        <v>169</v>
      </c>
    </row>
    <row r="24" ht="24.25" customHeight="1">
      <c r="A24" s="12"/>
      <c r="B24" s="20"/>
      <c r="C24" s="15">
        <f>SQRT(D23)</f>
        <v>228.224228804647</v>
      </c>
      <c r="D24" s="15">
        <f>C25*C25</f>
        <v>51984</v>
      </c>
      <c r="E24" t="s" s="17">
        <v>181</v>
      </c>
      <c r="F24" s="14"/>
      <c r="G24" s="14"/>
    </row>
    <row r="25" ht="24.25" customHeight="1">
      <c r="A25" s="12"/>
      <c r="B25" t="s" s="53">
        <v>168</v>
      </c>
      <c r="C25" s="15">
        <v>228</v>
      </c>
      <c r="D25" s="14"/>
      <c r="E25" s="14"/>
      <c r="F25" s="14"/>
      <c r="G25" s="14"/>
    </row>
    <row r="26" ht="24.25" customHeight="1">
      <c r="A26" s="12"/>
      <c r="B26" s="20"/>
      <c r="C26" t="s" s="17">
        <v>182</v>
      </c>
      <c r="D26" s="15">
        <f>C9*C10</f>
        <v>4.11378e-21</v>
      </c>
      <c r="E26" s="14"/>
      <c r="F26" s="14"/>
      <c r="G26" s="14"/>
    </row>
    <row r="27" ht="24.25" customHeight="1">
      <c r="A27" s="12"/>
      <c r="B27" s="20"/>
      <c r="C27" s="14"/>
      <c r="D27" s="14"/>
      <c r="E27" s="14"/>
      <c r="F27" s="14"/>
      <c r="G27" s="15">
        <f>G28/19.5</f>
        <v>0.0499677454285098</v>
      </c>
    </row>
    <row r="28" ht="24.25" customHeight="1">
      <c r="A28" s="12"/>
      <c r="B28" s="20"/>
      <c r="C28" s="14"/>
      <c r="D28" s="15">
        <f>228*1*SQRT(0.05)*COSH(19.5*1*0.05)</f>
        <v>77.1964434516503</v>
      </c>
      <c r="E28" s="14"/>
      <c r="F28" t="s" s="17">
        <v>183</v>
      </c>
      <c r="G28" s="15">
        <f>ACOSH(F31)</f>
        <v>0.974371035855941</v>
      </c>
    </row>
    <row r="29" ht="24.25" customHeight="1">
      <c r="A29" s="12"/>
      <c r="B29" s="20"/>
      <c r="C29" s="14"/>
      <c r="D29" s="14"/>
      <c r="E29" s="14"/>
      <c r="F29" s="14"/>
      <c r="G29" s="14"/>
    </row>
    <row r="30" ht="24.25" customHeight="1">
      <c r="A30" s="12"/>
      <c r="B30" s="20"/>
      <c r="C30" t="s" s="17">
        <v>184</v>
      </c>
      <c r="D30" s="15">
        <v>77.16</v>
      </c>
      <c r="E30" s="14"/>
      <c r="F30" s="15">
        <f>D30/228</f>
        <v>0.338421052631579</v>
      </c>
      <c r="G30" s="14"/>
    </row>
    <row r="31" ht="24.25" customHeight="1">
      <c r="A31" s="12"/>
      <c r="B31" s="20"/>
      <c r="C31" t="s" s="17">
        <v>185</v>
      </c>
      <c r="D31" s="15">
        <f>SQRT(0.05)</f>
        <v>0.223606797749979</v>
      </c>
      <c r="E31" s="14"/>
      <c r="F31" s="15">
        <f>F30/D31</f>
        <v>1.51346495740249</v>
      </c>
      <c r="G31" s="14"/>
    </row>
    <row r="32" ht="24.25" customHeight="1">
      <c r="A32" s="12"/>
      <c r="B32" s="20"/>
      <c r="C32" s="14"/>
      <c r="D32" s="14"/>
      <c r="E32" s="14"/>
      <c r="F32" s="14"/>
      <c r="G32" s="14"/>
    </row>
    <row r="33" ht="24.25" customHeight="1">
      <c r="A33" s="12"/>
      <c r="B33" s="20"/>
      <c r="C33" s="14"/>
      <c r="D33" s="14"/>
      <c r="E33" t="s" s="17">
        <v>169</v>
      </c>
      <c r="F33" s="15">
        <f>COSH(19.5*0.05)</f>
        <v>1.51417978227288</v>
      </c>
      <c r="G33" s="14"/>
    </row>
    <row r="34" ht="24.25" customHeight="1">
      <c r="A34" s="12"/>
      <c r="B34" s="20"/>
      <c r="C34" s="14"/>
      <c r="D34" s="14"/>
      <c r="E34" t="s" s="17">
        <v>186</v>
      </c>
      <c r="F34" s="15">
        <f>D30/F33</f>
        <v>50.9582817729728</v>
      </c>
      <c r="G34" s="14"/>
    </row>
    <row r="35" ht="24.25" customHeight="1">
      <c r="A35" s="12"/>
      <c r="B35" s="20"/>
      <c r="C35" s="14"/>
      <c r="D35" s="14"/>
      <c r="E35" t="s" s="17">
        <v>187</v>
      </c>
      <c r="F35" s="15">
        <f>F34/228</f>
        <v>0.223501235846372</v>
      </c>
      <c r="G35" s="14"/>
    </row>
    <row r="36" ht="24.25" customHeight="1">
      <c r="A36" s="12"/>
      <c r="B36" s="20"/>
      <c r="C36" s="14"/>
      <c r="D36" s="14"/>
      <c r="E36" t="s" s="17">
        <v>8</v>
      </c>
      <c r="F36" s="15">
        <f>F35^2</f>
        <v>0.0499528024248556</v>
      </c>
      <c r="G36" s="14"/>
    </row>
    <row r="37" ht="24.25" customHeight="1">
      <c r="A37" s="12"/>
      <c r="B37" t="s" s="53">
        <v>188</v>
      </c>
      <c r="C37" s="90">
        <v>1e-05</v>
      </c>
      <c r="D37" s="14"/>
      <c r="E37" s="14"/>
      <c r="F37" s="14"/>
      <c r="G37" s="14"/>
    </row>
    <row r="38" ht="24.25" customHeight="1">
      <c r="A38" s="12"/>
      <c r="B38" t="s" s="53">
        <v>189</v>
      </c>
      <c r="C38" s="90">
        <v>1e-05</v>
      </c>
      <c r="D38" s="14"/>
      <c r="E38" s="14"/>
      <c r="F38" s="14"/>
      <c r="G38" s="14"/>
    </row>
    <row r="39" ht="24.25" customHeight="1">
      <c r="A39" s="12"/>
      <c r="B39" t="s" s="53">
        <v>190</v>
      </c>
      <c r="C39" s="135">
        <f>(C37*C38)/((22/7)*((C21+C21)*(C21+C21)))</f>
        <v>318181.818181818</v>
      </c>
      <c r="D39" s="14"/>
      <c r="E39" s="14"/>
      <c r="F39" s="14"/>
      <c r="G39" s="14"/>
    </row>
  </sheetData>
  <mergeCells count="1">
    <mergeCell ref="A1:G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7.xml><?xml version="1.0" encoding="utf-8"?>
<worksheet xmlns:r="http://schemas.openxmlformats.org/officeDocument/2006/relationships" xmlns="http://schemas.openxmlformats.org/spreadsheetml/2006/main">
  <sheetPr>
    <pageSetUpPr fitToPage="1"/>
  </sheetPr>
  <dimension ref="A2:G55"/>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39" customWidth="1"/>
    <col min="2" max="2" width="23.0391" style="139" customWidth="1"/>
    <col min="3" max="3" width="22.3438" style="139" customWidth="1"/>
    <col min="4" max="4" width="16.3516" style="139" customWidth="1"/>
    <col min="5" max="5" width="18.0938" style="139" customWidth="1"/>
    <col min="6" max="6" width="19.4219" style="139" customWidth="1"/>
    <col min="7" max="7" width="20.6719" style="139" customWidth="1"/>
    <col min="8" max="16384" width="16.3516" style="139" customWidth="1"/>
  </cols>
  <sheetData>
    <row r="1" ht="27.65" customHeight="1">
      <c r="A1" t="s" s="7">
        <v>5</v>
      </c>
      <c r="B1" s="7"/>
      <c r="C1" s="7"/>
      <c r="D1" s="7"/>
      <c r="E1" s="7"/>
      <c r="F1" s="7"/>
      <c r="G1" s="7"/>
    </row>
    <row r="2" ht="20.85" customHeight="1">
      <c r="A2" s="140"/>
      <c r="B2" s="140"/>
      <c r="C2" s="8"/>
      <c r="D2" s="8"/>
      <c r="E2" s="8"/>
      <c r="F2" s="8"/>
      <c r="G2" s="8"/>
    </row>
    <row r="3" ht="20.85" customHeight="1">
      <c r="A3" t="s" s="141">
        <v>8</v>
      </c>
      <c r="B3" s="142">
        <v>10</v>
      </c>
      <c r="C3" t="s" s="143">
        <v>145</v>
      </c>
      <c r="D3" s="11"/>
      <c r="E3" s="11"/>
      <c r="F3" s="11"/>
      <c r="G3" s="11"/>
    </row>
    <row r="4" ht="20.05" customHeight="1">
      <c r="A4" t="s" s="144">
        <v>146</v>
      </c>
      <c r="B4" s="145">
        <v>1</v>
      </c>
      <c r="C4" s="73"/>
      <c r="D4" t="s" s="17">
        <v>147</v>
      </c>
      <c r="E4" s="15">
        <f>B4*B4</f>
        <v>1</v>
      </c>
      <c r="F4" s="14"/>
      <c r="G4" s="14"/>
    </row>
    <row r="5" ht="20.05" customHeight="1">
      <c r="A5" t="s" s="144">
        <v>148</v>
      </c>
      <c r="B5" s="146">
        <v>1.6e-19</v>
      </c>
      <c r="C5" s="147"/>
      <c r="D5" t="s" s="114">
        <v>149</v>
      </c>
      <c r="E5" s="115">
        <f>B5*B5</f>
        <v>2.56e-38</v>
      </c>
      <c r="F5" s="14"/>
      <c r="G5" s="14"/>
    </row>
    <row r="6" ht="20.05" customHeight="1">
      <c r="A6" t="s" s="144">
        <v>150</v>
      </c>
      <c r="B6" s="148">
        <f>B3*1000</f>
        <v>10000</v>
      </c>
      <c r="C6" t="s" s="149">
        <v>151</v>
      </c>
      <c r="D6" t="s" s="118">
        <v>152</v>
      </c>
      <c r="E6" s="119"/>
      <c r="F6" s="14"/>
      <c r="G6" s="14"/>
    </row>
    <row r="7" ht="20.05" customHeight="1">
      <c r="A7" t="s" s="144">
        <v>153</v>
      </c>
      <c r="B7" s="145">
        <v>78.48999999999999</v>
      </c>
      <c r="C7" s="150"/>
      <c r="D7" t="s" s="121">
        <v>154</v>
      </c>
      <c r="E7" s="71">
        <f>B5*B12</f>
        <v>96352</v>
      </c>
      <c r="F7" s="14"/>
      <c r="G7" s="14"/>
    </row>
    <row r="8" ht="20.05" customHeight="1">
      <c r="A8" t="s" s="144">
        <v>155</v>
      </c>
      <c r="B8" s="151">
        <v>8.853999999999999e-12</v>
      </c>
      <c r="C8" s="73"/>
      <c r="D8" t="s" s="17">
        <v>156</v>
      </c>
      <c r="E8" s="15">
        <v>100</v>
      </c>
      <c r="F8" t="s" s="17">
        <v>157</v>
      </c>
      <c r="G8" s="14"/>
    </row>
    <row r="9" ht="20.05" customHeight="1">
      <c r="A9" t="s" s="144">
        <v>158</v>
      </c>
      <c r="B9" s="152">
        <v>1.38e-23</v>
      </c>
      <c r="C9" s="73"/>
      <c r="D9" t="s" s="17">
        <v>159</v>
      </c>
      <c r="E9" s="15">
        <f>E8*E7</f>
        <v>9635200</v>
      </c>
      <c r="F9" s="14"/>
      <c r="G9" s="14"/>
    </row>
    <row r="10" ht="20.05" customHeight="1">
      <c r="A10" t="s" s="144">
        <v>42</v>
      </c>
      <c r="B10" s="145">
        <v>298.1</v>
      </c>
      <c r="C10" s="73"/>
      <c r="D10" t="s" s="17">
        <v>160</v>
      </c>
      <c r="E10" s="123">
        <f>B6*B12</f>
        <v>6.022e+27</v>
      </c>
      <c r="F10" s="14"/>
      <c r="G10" s="14"/>
    </row>
    <row r="11" ht="20.05" customHeight="1">
      <c r="A11" t="s" s="144">
        <v>161</v>
      </c>
      <c r="B11" s="153">
        <v>0.05</v>
      </c>
      <c r="C11" s="73"/>
      <c r="D11" s="14"/>
      <c r="E11" s="14"/>
      <c r="F11" s="14"/>
      <c r="G11" s="14"/>
    </row>
    <row r="12" ht="20.85" customHeight="1">
      <c r="A12" t="s" s="154">
        <v>164</v>
      </c>
      <c r="B12" s="155">
        <v>6.022e+23</v>
      </c>
      <c r="C12" s="73"/>
      <c r="D12" s="14"/>
      <c r="E12" s="14"/>
      <c r="F12" s="14"/>
      <c r="G12" s="14"/>
    </row>
    <row r="13" ht="20.85" customHeight="1">
      <c r="A13" t="s" s="156">
        <v>166</v>
      </c>
      <c r="B13" s="157">
        <f>(SQRT((2*E4*E5*B12*B6*B7*B8)/(B9*B10)))*(COSH((B4*B5*B11)/(2*B9*B10)))</f>
        <v>10.9061879859567</v>
      </c>
      <c r="C13" s="14"/>
      <c r="D13" s="14"/>
      <c r="E13" s="62">
        <f>COSH((B4*B5*B11)/(2*B9*B10))</f>
        <v>1.5111627194985</v>
      </c>
      <c r="F13" s="14"/>
      <c r="G13" s="14"/>
    </row>
    <row r="14" ht="20.85" customHeight="1">
      <c r="A14" s="158"/>
      <c r="B14" t="s" s="159">
        <v>167</v>
      </c>
      <c r="C14" s="160">
        <f>B13*B23</f>
        <v>3.4277447727777e-11</v>
      </c>
      <c r="D14" s="14"/>
      <c r="E14" t="s" s="131">
        <v>169</v>
      </c>
      <c r="F14" s="14"/>
      <c r="G14" s="14"/>
    </row>
    <row r="15" ht="21.7" customHeight="1">
      <c r="A15" t="s" s="161">
        <v>170</v>
      </c>
      <c r="B15" s="162">
        <f>SQRT((B9*B10*B8*B7)/(2*B4*B4*B5*B5*B12*B6))</f>
        <v>9.62924193496933e-11</v>
      </c>
      <c r="C15" s="73"/>
      <c r="D15" s="14"/>
      <c r="E15" s="14"/>
      <c r="F15" s="14"/>
      <c r="G15" s="14"/>
    </row>
    <row r="16" ht="20.85" customHeight="1">
      <c r="A16" t="s" s="156">
        <v>171</v>
      </c>
      <c r="B16" s="163">
        <f>(B8*B7)/B15</f>
        <v>7.21708380258091</v>
      </c>
      <c r="C16" t="s" s="17">
        <v>172</v>
      </c>
      <c r="D16" s="14"/>
      <c r="E16" s="14"/>
      <c r="F16" s="14"/>
      <c r="G16" s="14"/>
    </row>
    <row r="17" ht="20.85" customHeight="1">
      <c r="A17" s="12"/>
      <c r="B17" s="164">
        <f>B16*E13</f>
        <v>10.9061879859567</v>
      </c>
      <c r="C17" s="64"/>
      <c r="D17" s="14"/>
      <c r="E17" s="14"/>
      <c r="F17" s="14"/>
      <c r="G17" s="14"/>
    </row>
    <row r="18" ht="21.7" customHeight="1">
      <c r="A18" s="165"/>
      <c r="B18" t="s" s="166">
        <v>175</v>
      </c>
      <c r="C18" s="167">
        <f>C14*B26</f>
        <v>1.09064606406563e-05</v>
      </c>
      <c r="D18" s="73"/>
      <c r="E18" s="64"/>
      <c r="F18" s="64"/>
      <c r="G18" s="14"/>
    </row>
    <row r="19" ht="20.85" customHeight="1">
      <c r="A19" t="s" s="16">
        <v>176</v>
      </c>
      <c r="B19" s="168">
        <f>B5*B12</f>
        <v>96352</v>
      </c>
      <c r="C19" s="78"/>
      <c r="D19" s="65"/>
      <c r="E19" t="s" s="169">
        <v>192</v>
      </c>
      <c r="F19" s="170">
        <f>F20*B29</f>
        <v>1.57142857142857e-27</v>
      </c>
      <c r="G19" s="73"/>
    </row>
    <row r="20" ht="20.85" customHeight="1">
      <c r="A20" t="s" s="171">
        <v>177</v>
      </c>
      <c r="B20" s="172">
        <f>B9*B12</f>
        <v>8.310359999999999</v>
      </c>
      <c r="C20" s="14"/>
      <c r="D20" s="65"/>
      <c r="E20" t="s" s="173">
        <v>193</v>
      </c>
      <c r="F20" s="174">
        <f>(22/7)*(B30*B30)</f>
        <v>7.85714285714286e-19</v>
      </c>
      <c r="G20" s="73"/>
    </row>
    <row r="21" ht="32.85" customHeight="1">
      <c r="A21" t="s" s="141">
        <v>178</v>
      </c>
      <c r="B21" s="175">
        <v>5e-09</v>
      </c>
      <c r="C21" s="73"/>
      <c r="D21" s="65"/>
      <c r="E21" t="s" s="173">
        <v>194</v>
      </c>
      <c r="F21" s="176">
        <v>5e-10</v>
      </c>
      <c r="G21" s="73"/>
    </row>
    <row r="22" ht="32.05" customHeight="1">
      <c r="A22" t="s" s="144">
        <v>179</v>
      </c>
      <c r="B22" s="177">
        <v>0.0001</v>
      </c>
      <c r="C22" s="73"/>
      <c r="D22" s="65"/>
      <c r="E22" t="s" s="173">
        <v>195</v>
      </c>
      <c r="F22" s="178">
        <f>B23/((22/7)*(B30+F21)*(B30+F21))</f>
        <v>1000025</v>
      </c>
      <c r="G22" s="73"/>
    </row>
    <row r="23" ht="32.05" customHeight="1">
      <c r="A23" t="s" s="144">
        <v>180</v>
      </c>
      <c r="B23" s="179">
        <f>((22/7)*B21*B21)+(2*(22/7)*B22*B21)</f>
        <v>3.14293571428571e-12</v>
      </c>
      <c r="C23" s="73"/>
      <c r="D23" s="65"/>
      <c r="E23" t="s" s="173">
        <v>196</v>
      </c>
      <c r="F23" s="180">
        <f>F22*B26</f>
        <v>318189772727.273</v>
      </c>
      <c r="G23" s="73"/>
    </row>
    <row r="24" ht="44.05" customHeight="1">
      <c r="A24" t="s" s="144">
        <v>188</v>
      </c>
      <c r="B24" s="181">
        <v>1e-05</v>
      </c>
      <c r="C24" s="73"/>
      <c r="D24" s="65"/>
      <c r="E24" t="s" s="173">
        <v>197</v>
      </c>
      <c r="F24" s="182">
        <f>F23/B12</f>
        <v>5.2837889858398e-13</v>
      </c>
      <c r="G24" t="s" s="173">
        <v>198</v>
      </c>
    </row>
    <row r="25" ht="20.85" customHeight="1">
      <c r="A25" t="s" s="144">
        <v>189</v>
      </c>
      <c r="B25" s="181">
        <v>1e-05</v>
      </c>
      <c r="C25" s="76"/>
      <c r="D25" s="183"/>
      <c r="E25" s="76"/>
      <c r="F25" s="184">
        <f>F24/1000</f>
        <v>5.2837889858398e-16</v>
      </c>
      <c r="G25" t="s" s="173">
        <v>145</v>
      </c>
    </row>
    <row r="26" ht="21.7" customHeight="1">
      <c r="A26" t="s" s="154">
        <v>190</v>
      </c>
      <c r="B26" s="185">
        <f>(B24*B25)/((22/7)*((B21+B21)*(B21+B21)))</f>
        <v>318181.818181818</v>
      </c>
      <c r="C26" t="s" s="166">
        <v>199</v>
      </c>
      <c r="D26" s="186">
        <f>B26*B23</f>
        <v>1.000025e-06</v>
      </c>
      <c r="E26" s="187"/>
      <c r="F26" s="188"/>
      <c r="G26" s="14"/>
    </row>
    <row r="27" ht="21.7" customHeight="1">
      <c r="A27" s="189"/>
      <c r="B27" s="190"/>
      <c r="C27" s="78"/>
      <c r="D27" s="191"/>
      <c r="E27" t="s" s="192">
        <v>200</v>
      </c>
      <c r="F27" s="193">
        <f>(B28*B8)/B29</f>
        <v>0.035416</v>
      </c>
      <c r="G27" s="194"/>
    </row>
    <row r="28" ht="20.85" customHeight="1">
      <c r="A28" t="s" s="141">
        <v>201</v>
      </c>
      <c r="B28" s="195">
        <v>8</v>
      </c>
      <c r="C28" t="s" s="173">
        <v>202</v>
      </c>
      <c r="D28" s="196"/>
      <c r="E28" t="s" s="197">
        <v>203</v>
      </c>
      <c r="F28" s="198">
        <f>F27*B23</f>
        <v>1.11310211257143e-13</v>
      </c>
      <c r="G28" s="194"/>
    </row>
    <row r="29" ht="20.85" customHeight="1">
      <c r="A29" t="s" s="144">
        <v>204</v>
      </c>
      <c r="B29" s="199">
        <v>2e-09</v>
      </c>
      <c r="C29" t="s" s="173">
        <v>205</v>
      </c>
      <c r="D29" s="196"/>
      <c r="E29" t="s" s="200">
        <v>206</v>
      </c>
      <c r="F29" s="201">
        <f>F28*B26</f>
        <v>3.54168854e-08</v>
      </c>
      <c r="G29" s="194"/>
    </row>
    <row r="30" ht="45.7" customHeight="1">
      <c r="A30" t="s" s="202">
        <v>207</v>
      </c>
      <c r="B30" s="203">
        <v>5e-10</v>
      </c>
      <c r="C30" t="s" s="173">
        <v>208</v>
      </c>
      <c r="D30" s="14"/>
      <c r="E30" s="204"/>
      <c r="F30" s="205"/>
      <c r="G30" s="14"/>
    </row>
    <row r="31" ht="32.85" customHeight="1">
      <c r="A31" t="s" s="206">
        <v>209</v>
      </c>
      <c r="B31" s="207">
        <f>(1/F29)+(1/C18)</f>
        <v>28326808.5111055</v>
      </c>
      <c r="C31" s="208"/>
      <c r="D31" s="14"/>
      <c r="E31" s="14"/>
      <c r="F31" s="71"/>
      <c r="G31" s="14"/>
    </row>
    <row r="32" ht="20.05" customHeight="1">
      <c r="A32" t="s" s="209">
        <v>210</v>
      </c>
      <c r="B32" s="210">
        <f>B31^(-1)</f>
        <v>3.53022473254603e-08</v>
      </c>
      <c r="C32" t="s" s="211">
        <v>211</v>
      </c>
      <c r="D32" s="14"/>
      <c r="E32" s="14"/>
      <c r="F32" s="71"/>
      <c r="G32" s="14"/>
    </row>
    <row r="33" ht="20.05" customHeight="1">
      <c r="A33" t="s" s="209">
        <v>212</v>
      </c>
      <c r="B33" s="212">
        <v>100000</v>
      </c>
      <c r="C33" t="s" s="211">
        <v>213</v>
      </c>
      <c r="D33" s="14"/>
      <c r="E33" s="14"/>
      <c r="F33" s="71"/>
      <c r="G33" s="14"/>
    </row>
    <row r="34" ht="20.85" customHeight="1">
      <c r="A34" t="s" s="213">
        <v>214</v>
      </c>
      <c r="B34" s="214">
        <f>1/(2*(22/7)*B32*B33)</f>
        <v>45.0653771767587</v>
      </c>
      <c r="C34" t="s" s="211">
        <v>215</v>
      </c>
      <c r="D34" s="14"/>
      <c r="E34" s="215"/>
      <c r="F34" s="216"/>
      <c r="G34" s="14"/>
    </row>
    <row r="35" ht="20.85" customHeight="1">
      <c r="A35" s="217"/>
      <c r="B35" s="218"/>
      <c r="C35" s="208"/>
      <c r="D35" s="196"/>
      <c r="E35" t="s" s="192">
        <v>216</v>
      </c>
      <c r="F35" s="219">
        <v>100000</v>
      </c>
      <c r="G35" t="s" s="197">
        <v>217</v>
      </c>
    </row>
    <row r="36" ht="20.85" customHeight="1">
      <c r="A36" t="s" s="213">
        <v>218</v>
      </c>
      <c r="B36" s="220">
        <f>B11/B34</f>
        <v>0.00110949920165732</v>
      </c>
      <c r="C36" t="s" s="211">
        <v>219</v>
      </c>
      <c r="D36" s="196"/>
      <c r="E36" t="s" s="197">
        <v>220</v>
      </c>
      <c r="F36" s="221">
        <f>SQRT((F35^2+B34^2))</f>
        <v>100000.010154441</v>
      </c>
      <c r="G36" t="s" s="197">
        <v>221</v>
      </c>
    </row>
    <row r="37" ht="21.7" customHeight="1">
      <c r="A37" s="222"/>
      <c r="B37" s="223"/>
      <c r="C37" s="14"/>
      <c r="D37" s="196"/>
      <c r="E37" t="s" s="200">
        <v>222</v>
      </c>
      <c r="F37" s="224">
        <f>B11/F36</f>
        <v>4.999999492278e-07</v>
      </c>
      <c r="G37" s="194"/>
    </row>
    <row r="38" ht="21.7" customHeight="1">
      <c r="A38" s="158"/>
      <c r="B38" s="225"/>
      <c r="C38" s="14"/>
      <c r="D38" s="14"/>
      <c r="E38" s="226"/>
      <c r="F38" s="227"/>
      <c r="G38" s="14"/>
    </row>
    <row r="39" ht="32.85" customHeight="1">
      <c r="A39" t="s" s="141">
        <v>223</v>
      </c>
      <c r="B39" s="195">
        <v>8</v>
      </c>
      <c r="C39" s="73"/>
      <c r="D39" s="196"/>
      <c r="E39" t="s" s="192">
        <v>224</v>
      </c>
      <c r="F39" s="193">
        <f>(B39*B8)/B40</f>
        <v>0.035416</v>
      </c>
      <c r="G39" s="194"/>
    </row>
    <row r="40" ht="20.85" customHeight="1">
      <c r="A40" t="s" s="154">
        <v>204</v>
      </c>
      <c r="B40" s="228">
        <v>2e-09</v>
      </c>
      <c r="C40" s="73"/>
      <c r="D40" s="196"/>
      <c r="E40" t="s" s="197">
        <v>225</v>
      </c>
      <c r="F40" s="198">
        <f>F39*B23</f>
        <v>1.11310211257143e-13</v>
      </c>
      <c r="G40" s="194"/>
    </row>
    <row r="41" ht="21.7" customHeight="1">
      <c r="A41" s="229"/>
      <c r="B41" s="230"/>
      <c r="C41" s="14"/>
      <c r="D41" s="196"/>
      <c r="E41" t="s" s="200">
        <v>226</v>
      </c>
      <c r="F41" s="201">
        <f>F40*B26</f>
        <v>3.54168854e-08</v>
      </c>
      <c r="G41" s="194"/>
    </row>
    <row r="42" ht="21.7" customHeight="1">
      <c r="A42" s="231"/>
      <c r="B42" s="232"/>
      <c r="C42" s="14"/>
      <c r="D42" s="14"/>
      <c r="E42" s="226"/>
      <c r="F42" s="227"/>
      <c r="G42" s="14"/>
    </row>
    <row r="43" ht="32.85" customHeight="1">
      <c r="A43" t="s" s="206">
        <v>227</v>
      </c>
      <c r="B43" s="207">
        <f>(1/F41)+(1/F29)+(1/C18)</f>
        <v>56561928.2486531</v>
      </c>
      <c r="C43" s="208"/>
      <c r="D43" s="196"/>
      <c r="E43" t="s" s="192">
        <v>228</v>
      </c>
      <c r="F43" s="233">
        <f>(1/F29)+(1/F41)</f>
        <v>56470239.4750951</v>
      </c>
      <c r="G43" s="194"/>
    </row>
    <row r="44" ht="20.85" customHeight="1">
      <c r="A44" t="s" s="209">
        <v>210</v>
      </c>
      <c r="B44" s="210">
        <f>B43^(-1)</f>
        <v>1.76797367233288e-08</v>
      </c>
      <c r="C44" t="s" s="211">
        <v>211</v>
      </c>
      <c r="D44" s="196"/>
      <c r="E44" t="s" s="200">
        <v>229</v>
      </c>
      <c r="F44" s="234">
        <f>F43^-1</f>
        <v>1.77084427e-08</v>
      </c>
      <c r="G44" s="235">
        <f>((B39*B8)/(B40+B29))*B23*B26</f>
        <v>1.77084427e-08</v>
      </c>
    </row>
    <row r="45" ht="32.85" customHeight="1">
      <c r="A45" t="s" s="209">
        <v>212</v>
      </c>
      <c r="B45" s="236">
        <v>10000</v>
      </c>
      <c r="C45" t="s" s="211">
        <v>213</v>
      </c>
      <c r="D45" s="14"/>
      <c r="E45" s="204"/>
      <c r="F45" s="205"/>
      <c r="G45" t="s" s="17">
        <v>230</v>
      </c>
    </row>
    <row r="46" ht="20.85" customHeight="1">
      <c r="A46" t="s" s="213">
        <v>214</v>
      </c>
      <c r="B46" s="237">
        <f>1/(2*(22/7)*B44*B45)</f>
        <v>899.848858501299</v>
      </c>
      <c r="C46" s="208"/>
      <c r="D46" s="14"/>
      <c r="E46" s="14"/>
      <c r="F46" s="71"/>
      <c r="G46" s="14"/>
    </row>
    <row r="47" ht="20.85" customHeight="1">
      <c r="A47" s="217"/>
      <c r="B47" s="218"/>
      <c r="C47" s="208"/>
      <c r="D47" s="14"/>
      <c r="E47" t="s" s="17">
        <v>231</v>
      </c>
      <c r="F47" s="96">
        <f>1/(2*(22/7)*B33*C18)</f>
        <v>0.145868503387673</v>
      </c>
      <c r="G47" s="14"/>
    </row>
    <row r="48" ht="20.85" customHeight="1">
      <c r="A48" t="s" s="213">
        <v>218</v>
      </c>
      <c r="B48" s="238">
        <f>B11/B46</f>
        <v>5.55648868447476e-05</v>
      </c>
      <c r="C48" t="s" s="211">
        <v>219</v>
      </c>
      <c r="D48" s="14"/>
      <c r="E48" s="14"/>
      <c r="F48" s="71"/>
      <c r="G48" s="14"/>
    </row>
    <row r="49" ht="21.7" customHeight="1">
      <c r="A49" s="239"/>
      <c r="B49" s="240"/>
      <c r="C49" s="14"/>
      <c r="D49" s="14"/>
      <c r="E49" s="14"/>
      <c r="F49" s="71"/>
      <c r="G49" s="14"/>
    </row>
    <row r="50" ht="20.85" customHeight="1">
      <c r="A50" t="s" s="241">
        <v>232</v>
      </c>
      <c r="B50" s="242">
        <f>B36-B48</f>
        <v>0.00105393431481257</v>
      </c>
      <c r="C50" s="243"/>
      <c r="D50" s="14"/>
      <c r="E50" s="14"/>
      <c r="F50" s="71"/>
      <c r="G50" s="14"/>
    </row>
    <row r="51" ht="20.85" customHeight="1">
      <c r="A51" t="s" s="244">
        <v>233</v>
      </c>
      <c r="B51" s="245">
        <f>B34-B46</f>
        <v>-854.783481324540</v>
      </c>
      <c r="C51" t="s" s="246">
        <v>234</v>
      </c>
      <c r="D51" s="14"/>
      <c r="E51" s="64"/>
      <c r="F51" s="247"/>
      <c r="G51" s="64"/>
    </row>
    <row r="52" ht="21.7" customHeight="1">
      <c r="A52" t="s" s="248">
        <v>235</v>
      </c>
      <c r="B52" s="249">
        <f>B32-B44</f>
        <v>1.76225106021315e-08</v>
      </c>
      <c r="C52" s="243"/>
      <c r="D52" s="65"/>
      <c r="E52" t="s" s="169">
        <v>236</v>
      </c>
      <c r="F52" s="250">
        <f>F47-B34</f>
        <v>-44.919508673371</v>
      </c>
      <c r="G52" s="251">
        <f>F47-B46</f>
        <v>-899.702989997911</v>
      </c>
    </row>
    <row r="53" ht="33.7" customHeight="1">
      <c r="A53" s="252"/>
      <c r="B53" s="253"/>
      <c r="C53" s="14"/>
      <c r="D53" s="65"/>
      <c r="E53" s="76"/>
      <c r="F53" t="s" s="254">
        <v>237</v>
      </c>
      <c r="G53" t="s" s="255">
        <v>238</v>
      </c>
    </row>
    <row r="54" ht="20.85" customHeight="1">
      <c r="A54" s="12"/>
      <c r="B54" s="20"/>
      <c r="C54" s="14"/>
      <c r="D54" s="14"/>
      <c r="E54" s="78"/>
      <c r="F54" s="256"/>
      <c r="G54" s="78"/>
    </row>
    <row r="55" ht="20.05" customHeight="1">
      <c r="A55" s="12"/>
      <c r="B55" s="20"/>
      <c r="C55" s="14"/>
      <c r="D55" s="14"/>
      <c r="E55" s="14"/>
      <c r="F55" s="71"/>
      <c r="G55" s="14"/>
    </row>
  </sheetData>
  <mergeCells count="1">
    <mergeCell ref="A1:G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8.xml><?xml version="1.0" encoding="utf-8"?>
<worksheet xmlns:r="http://schemas.openxmlformats.org/officeDocument/2006/relationships" xmlns="http://schemas.openxmlformats.org/spreadsheetml/2006/main">
  <sheetPr>
    <pageSetUpPr fitToPage="1"/>
  </sheetPr>
  <dimension ref="A2:E1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57" customWidth="1"/>
    <col min="6" max="16384" width="16.3516" style="257" customWidth="1"/>
  </cols>
  <sheetData>
    <row r="1" ht="27.65" customHeight="1">
      <c r="A1" t="s" s="7">
        <v>5</v>
      </c>
      <c r="B1" s="7"/>
      <c r="C1" s="7"/>
      <c r="D1" s="7"/>
      <c r="E1" s="7"/>
    </row>
    <row r="2" ht="20.25" customHeight="1">
      <c r="A2" s="8"/>
      <c r="B2" s="8"/>
      <c r="C2" s="8"/>
      <c r="D2" s="8"/>
      <c r="E2" s="8"/>
    </row>
    <row r="3" ht="32.25" customHeight="1">
      <c r="A3" s="9"/>
      <c r="B3" t="s" s="84">
        <v>240</v>
      </c>
      <c r="C3" t="s" s="86">
        <v>241</v>
      </c>
      <c r="D3" t="s" s="86">
        <v>242</v>
      </c>
      <c r="E3" s="11"/>
    </row>
    <row r="4" ht="20.05" customHeight="1">
      <c r="A4" s="12"/>
      <c r="B4" s="258">
        <v>5.25e-16</v>
      </c>
      <c r="C4" s="96">
        <v>1e-15</v>
      </c>
      <c r="D4" s="102">
        <v>3.3e-16</v>
      </c>
      <c r="E4" s="14"/>
    </row>
    <row r="5" ht="20.05" customHeight="1">
      <c r="A5" s="12"/>
      <c r="B5" s="20"/>
      <c r="C5" s="109">
        <v>1e-12</v>
      </c>
      <c r="D5" s="102">
        <v>3.3e-16</v>
      </c>
      <c r="E5" s="14"/>
    </row>
    <row r="6" ht="20.05" customHeight="1">
      <c r="A6" s="12"/>
      <c r="B6" s="20"/>
      <c r="C6" s="135">
        <v>1e-09</v>
      </c>
      <c r="D6" s="99">
        <v>3.3e-13</v>
      </c>
      <c r="E6" s="14"/>
    </row>
    <row r="7" ht="20.05" customHeight="1">
      <c r="A7" s="12"/>
      <c r="B7" s="20"/>
      <c r="C7" s="93">
        <v>1e-06</v>
      </c>
      <c r="D7" s="109">
        <v>2.56e-10</v>
      </c>
      <c r="E7" s="14"/>
    </row>
    <row r="8" ht="20.05" customHeight="1">
      <c r="A8" s="12"/>
      <c r="B8" s="20"/>
      <c r="C8" s="259">
        <v>0.001</v>
      </c>
      <c r="D8" s="91">
        <v>1.15e-08</v>
      </c>
      <c r="E8" s="14"/>
    </row>
    <row r="9" ht="20.05" customHeight="1">
      <c r="A9" s="12"/>
      <c r="B9" s="20"/>
      <c r="C9" s="98">
        <v>0.1</v>
      </c>
      <c r="D9" s="91">
        <v>1.68e-08</v>
      </c>
      <c r="E9" s="14"/>
    </row>
    <row r="10" ht="20.05" customHeight="1">
      <c r="A10" s="12"/>
      <c r="B10" s="20"/>
      <c r="C10" s="71">
        <v>1</v>
      </c>
      <c r="D10" s="91">
        <v>1.74e-08</v>
      </c>
      <c r="E10" s="14"/>
    </row>
    <row r="11" ht="20.05" customHeight="1">
      <c r="A11" s="12"/>
      <c r="B11" s="20"/>
      <c r="C11" s="71">
        <v>10</v>
      </c>
      <c r="D11" s="91">
        <v>1.76e-08</v>
      </c>
      <c r="E11" s="14"/>
    </row>
    <row r="12" ht="20.05" customHeight="1">
      <c r="A12" s="12"/>
      <c r="B12" s="20"/>
      <c r="C12" s="14"/>
      <c r="D12" s="14"/>
      <c r="E12" s="14"/>
    </row>
    <row r="13" ht="20.05" customHeight="1">
      <c r="A13" s="12"/>
      <c r="B13" s="20"/>
      <c r="C13" s="14"/>
      <c r="D13" s="14"/>
      <c r="E13" s="14"/>
    </row>
    <row r="14" ht="20.05" customHeight="1">
      <c r="A14" s="12"/>
      <c r="B14" s="20"/>
      <c r="C14" s="14"/>
      <c r="D14" s="14"/>
      <c r="E14" s="14"/>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